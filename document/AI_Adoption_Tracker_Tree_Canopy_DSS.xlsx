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5c611fd6e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Overview" sheetId="1" r:id="Reb741183b19b43f9"/>
    <x:sheet xmlns:r="http://schemas.openxmlformats.org/officeDocument/2006/relationships" name="Stakeholder Feedback" sheetId="2" r:id="R9ed8f7862d9a4422"/>
    <x:sheet xmlns:r="http://schemas.openxmlformats.org/officeDocument/2006/relationships" name="Training Schedule" sheetId="3" r:id="R913eed00c9bc4caa"/>
    <x:sheet xmlns:r="http://schemas.openxmlformats.org/officeDocument/2006/relationships" name="Progress Tracker" sheetId="4" r:id="Rb082e4966a5c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0%"/>
    <x:numFmt numFmtId="202" formatCode="0&quot;%&quot;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2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F7F7F7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left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201" fontId="6" fillId="6" borderId="1" xfId="0" applyNumberFormat="1" applyFont="1" applyFill="1" applyBorder="1" applyAlignment="1">
      <x:alignment horizontal="center" vertical="center"/>
    </x:xf>
    <x:xf numFmtId="200" fontId="6" fillId="6" borderId="0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 wrapText="1"/>
    </x:xf>
    <x:xf numFmtId="202" fontId="0" fillId="6" borderId="1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202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c3e0a94f443f0" /><Relationship Type="http://schemas.openxmlformats.org/officeDocument/2006/relationships/theme" Target="/xl/theme/theme1.xml" Id="R4db716e4a39a48aa" /><Relationship Type="http://schemas.openxmlformats.org/officeDocument/2006/relationships/sharedStrings" Target="/xl/sharedStrings.xml" Id="Raa612157204d459f" /><Relationship Type="http://schemas.openxmlformats.org/officeDocument/2006/relationships/worksheet" Target="/xl/worksheets/sheet1.xml" Id="Reb741183b19b43f9" /><Relationship Type="http://schemas.openxmlformats.org/officeDocument/2006/relationships/worksheet" Target="/xl/worksheets/sheet2.xml" Id="R9ed8f7862d9a4422" /><Relationship Type="http://schemas.openxmlformats.org/officeDocument/2006/relationships/worksheet" Target="/xl/worksheets/sheet3.xml" Id="R913eed00c9bc4caa" /><Relationship Type="http://schemas.openxmlformats.org/officeDocument/2006/relationships/worksheet" Target="/xl/worksheets/sheet4.xml" Id="Rb082e4966a5c4286" /></Relationships>
</file>

<file path=xl/tables/table1.xml><?xml version="1.0" encoding="utf-8"?>
<x:table xmlns:x="http://schemas.openxmlformats.org/spreadsheetml/2006/main" id="1" name="ProjectOverviewTable" displayName="ProjectOverviewTable" ref="A4:E8" headerRowCount="1">
  <x:tableColumns count="5">
    <x:tableColumn id="1" name="AI Adoption Phase"/>
    <x:tableColumn id="2" name="Start Date"/>
    <x:tableColumn id="3" name="End Date"/>
    <x:tableColumn id="4" name="Key Milestones"/>
    <x:tableColumn id="5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takeholderFeedbackTable" displayName="StakeholderFeedbackTable" ref="A4:G12" headerRowCount="1">
  <x:tableColumns count="7">
    <x:tableColumn id="1" name="Stakeholder Name / Group"/>
    <x:tableColumn id="2" name="Role"/>
    <x:tableColumn id="3" name="Feedback"/>
    <x:tableColumn id="4" name="Status"/>
    <x:tableColumn id="5" name="Action Item"/>
    <x:tableColumn id="6" name="Assigned To"/>
    <x:tableColumn id="7" name="Response / Follow-up Notes"/>
  </x:tableColumns>
  <x:tableStyleInfo name="TableStyleMedium2" showRowStripes="1"/>
</x:table>
</file>

<file path=xl/tables/table3.xml><?xml version="1.0" encoding="utf-8"?>
<x:table xmlns:x="http://schemas.openxmlformats.org/spreadsheetml/2006/main" id="3" name="TrainingScheduleTable" displayName="TrainingScheduleTable" ref="A4:G13" headerRowCount="1">
  <x:tableColumns count="7">
    <x:tableColumn id="1" name="Training Session"/>
    <x:tableColumn id="2" name="Date"/>
    <x:tableColumn id="3" name="Participants"/>
    <x:tableColumn id="4" name="Facilitator"/>
    <x:tableColumn id="5" name="Completion Status"/>
    <x:tableColumn id="6" name="Attendance (%)"/>
    <x:tableColumn id="7" name="Expected Outcome / Materials"/>
  </x:tableColumns>
  <x:tableStyleInfo name="TableStyleMedium2" showRowStripes="1"/>
</x:table>
</file>

<file path=xl/tables/table4.xml><?xml version="1.0" encoding="utf-8"?>
<x:table xmlns:x="http://schemas.openxmlformats.org/spreadsheetml/2006/main" id="4" name="ProgressTrackerTable" displayName="ProgressTrackerTable" ref="A4:H18" headerRowCount="1">
  <x:tableColumns count="8">
    <x:tableColumn id="1" name="Task"/>
    <x:tableColumn id="2" name="Responsible Team"/>
    <x:tableColumn id="3" name="Deadline"/>
    <x:tableColumn id="4" name="Progress (%)"/>
    <x:tableColumn id="5" name="Status"/>
    <x:tableColumn id="6" name="Priority"/>
    <x:tableColumn id="7" name="Dependency / Deliverable"/>
    <x:tableColumn id="8" name="Schedule Heal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647c3fbb424e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d13f7536d945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5cf2321d1a4c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bfde4b3e8c43a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48" hidden="0" customWidth="1"/>
    <x:col min="5" max="5" width="16" hidden="0" customWidth="1"/>
    <x:col min="6" max="6" width="3" hidden="0" customWidth="1"/>
    <x:col min="7" max="7" width="25" hidden="0" customWidth="1"/>
    <x:col min="8" max="8" width="18" hidden="0" customWidth="1"/>
  </x:cols>
  <x:sheetData>
    <x:row r="1" ht="28" customHeight="1">
      <x:c r="A1" s="62" t="str">
        <x:v>AI Adoption Tracker – Tree Canopy Decision Support System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4" t="str">
        <x:v>Prototype adoption plan for the Kitchener–Waterloo–Cambridge municipal forestry DSS. The schedule is a realistic four-month implementation scenario prepared for the assignment.</x:v>
      </x:c>
      <x:c r="B2" s="14"/>
      <x:c r="C2" s="14"/>
      <x:c r="D2" s="14"/>
      <x:c r="E2" s="14"/>
      <x:c r="F2" s="14"/>
      <x:c r="G2" s="14"/>
      <x:c r="H2" s="14"/>
    </x:row>
    <x:row r="4" ht="34" customHeight="1">
      <x:c r="A4" s="64" t="str">
        <x:v>AI Adoption Phase</x:v>
      </x:c>
      <x:c r="B4" s="24" t="str">
        <x:v>Start Date</x:v>
      </x:c>
      <x:c r="C4" s="24" t="str">
        <x:v>End Date</x:v>
      </x:c>
      <x:c r="D4" s="24" t="str">
        <x:v>Key Milestones</x:v>
      </x:c>
      <x:c r="E4" s="24" t="str">
        <x:v>Status</x:v>
      </x:c>
      <x:c r="G4" s="24" t="str">
        <x:v>Adoption Summary</x:v>
      </x:c>
      <x:c r="H4" s="24"/>
    </x:row>
    <x:row r="5" ht="44" customHeight="1">
      <x:c r="A5" s="70" t="str">
        <x:v>Phase 1: Assessment</x:v>
      </x:c>
      <x:c r="B5" s="71" t="n">
        <x:v>46219</x:v>
      </x:c>
      <x:c r="C5" s="71" t="n">
        <x:v>46234</x:v>
      </x:c>
      <x:c r="D5" s="72" t="str">
        <x:v>Confirm business needs, pilot objectives, stakeholder concerns, data availability, and baseline KPIs.</x:v>
      </x:c>
      <x:c r="E5" s="72" t="str">
        <x:v>In Progress</x:v>
      </x:c>
      <x:c r="G5" s="42" t="str">
        <x:v>Overall task progress</x:v>
      </x:c>
      <x:c r="H5" s="56" t="n">
        <x:f>AVERAGE('Progress Tracker'!D5:D18)/100</x:f>
        <x:v>0.08928571428571429</x:v>
      </x:c>
    </x:row>
    <x:row r="6" ht="44" customHeight="1">
      <x:c r="A6" s="76" t="str">
        <x:v>Phase 2: Planning</x:v>
      </x:c>
      <x:c r="B6" s="77" t="n">
        <x:v>46235</x:v>
      </x:c>
      <x:c r="C6" s="77" t="n">
        <x:v>46255</x:v>
      </x:c>
      <x:c r="D6" s="78" t="str">
        <x:v>Approve AI roadmap, communication plan, training plan, data-quality rules, security controls, and pilot governance.</x:v>
      </x:c>
      <x:c r="E6" s="78" t="str">
        <x:v>Not Started</x:v>
      </x:c>
      <x:c r="G6" s="42" t="str">
        <x:v>Open stakeholder items</x:v>
      </x:c>
      <x:c r="H6" s="51" t="n">
        <x:f>COUNTIF('Stakeholder Feedback'!D5:D12,"&lt;&gt;Resolved")</x:f>
        <x:v>7</x:v>
      </x:c>
    </x:row>
    <x:row r="7" ht="44" customHeight="1">
      <x:c r="A7" s="70" t="str">
        <x:v>Phase 3: Implementation</x:v>
      </x:c>
      <x:c r="B7" s="71" t="n">
        <x:v>46258</x:v>
      </x:c>
      <x:c r="C7" s="71" t="n">
        <x:v>46341</x:v>
      </x:c>
      <x:c r="D7" s="72" t="str">
        <x:v>Train users, deploy the Forest Heights pilot, collect weekly feedback, and track technical and financial performance.</x:v>
      </x:c>
      <x:c r="E7" s="72" t="str">
        <x:v>Not Started</x:v>
      </x:c>
      <x:c r="G7" s="42" t="str">
        <x:v>Training sessions completed</x:v>
      </x:c>
      <x:c r="H7" s="51" t="str">
        <x:f>COUNTIF('Training Schedule'!E5:E13,"Completed")&amp;" of "&amp;COUNTA('Training Schedule'!A5:A13)</x:f>
        <x:v>0 of 9</x:v>
      </x:c>
    </x:row>
    <x:row r="8" ht="44" customHeight="1">
      <x:c r="A8" s="76" t="str">
        <x:v>Phase 4: Evaluation</x:v>
      </x:c>
      <x:c r="B8" s="77" t="n">
        <x:v>46342</x:v>
      </x:c>
      <x:c r="C8" s="77" t="n">
        <x:v>46346</x:v>
      </x:c>
      <x:c r="D8" s="78" t="str">
        <x:v>Evaluate pilot outcomes, document lessons learned, and approve or revise the tri-city rollout plan.</x:v>
      </x:c>
      <x:c r="E8" s="78" t="str">
        <x:v>Not Started</x:v>
      </x:c>
      <x:c r="G8" s="42" t="str">
        <x:v>Overdue tasks</x:v>
      </x:c>
      <x:c r="H8" s="51" t="n">
        <x:f>COUNTIF('Progress Tracker'!H5:H18,"Overdue")</x:f>
        <x:v>0</x:v>
      </x:c>
    </x:row>
    <x:row r="9">
      <x:c r="A9" s="65"/>
      <x:c r="G9" s="42" t="str">
        <x:v>Completed phases</x:v>
      </x:c>
      <x:c r="H9" s="51" t="str">
        <x:f>COUNTIF(E5:E8,"Completed")&amp;" of "&amp;COUNTA(A5:A8)</x:f>
        <x:v>0 of 4</x:v>
      </x:c>
    </x:row>
    <x:row r="10">
      <x:c r="A10" s="65"/>
      <x:c r="G10" s="42" t="str">
        <x:v>Pilot start date</x:v>
      </x:c>
      <x:c r="H10" s="58" t="n">
        <x:v>46266</x:v>
      </x:c>
    </x:row>
    <x:row r="11" ht="30" customHeight="1">
      <x:c r="A11" s="66" t="str">
        <x:v>Planning assumption: the prototype is submitted today, while the adoption timeline represents a hypothetical municipal deployment beginning July 16, 2026.</x:v>
      </x:c>
      <x:c r="B11" s="14"/>
      <x:c r="C11" s="14"/>
      <x:c r="D11" s="14"/>
      <x:c r="E11" s="14"/>
      <x:c r="F11" s="14"/>
      <x:c r="G11" s="14"/>
      <x:c r="H11" s="14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</x:sheetData>
  <x:mergeCells>
    <x:mergeCell ref="A1:H1"/>
    <x:mergeCell ref="A2:H2"/>
    <x:mergeCell ref="G4:H4"/>
    <x:mergeCell ref="A11:H11"/>
  </x:mergeCells>
  <x:conditionalFormatting sqref="E5:E100">
    <x:cfRule type="expression" dxfId="0" priority="1">
      <x:formula>E5="Not Started"</x:formula>
    </x:cfRule>
    <x:cfRule type="expression" dxfId="1" priority="2">
      <x:formula>E5="In Progress"</x:formula>
    </x:cfRule>
    <x:cfRule type="expression" dxfId="2" priority="3">
      <x:formula>E5="Completed"</x:formula>
    </x:cfRule>
  </x:conditionalFormatting>
  <x:conditionalFormatting sqref="H5:H5">
    <x:cfRule type="dataBar" priority="4">
      <x:dataBar>
        <x:cfvo type="min"/>
        <x:cfvo type="max"/>
        <x:color rgb="FF808080"/>
      </x:dataBar>
      <x:extLst>
        <x:ext xmlns:x14="http://schemas.microsoft.com/office/spreadsheetml/2009/9/main" uri="{B025F937-C7B1-47D3-B67F-A62EFF666E3E}">
          <x14:id>{B4907649-3A29-19F0-E8F2-6B740317291F}</x14:id>
        </x:ext>
      </x:extLst>
    </x:cfRule>
  </x:conditionalFormatting>
  <x:dataValidations count="1">
    <x:dataValidation type="list" sqref="E5:E100">
      <x:formula1>"Not Started,In Progress,Completed"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647c3fbb424e8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B4907649-3A29-19F0-E8F2-6B740317291F}">
            <x14:dataBar gradient="1">
              <x14:cfvo type="min"/>
              <x14:cfvo type="max"/>
              <x14:fillColor rgb="FF808080"/>
            </x14:dataBar>
          </x14:cfRule>
          <xm:sqref>H5:H5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5" hidden="0" customWidth="1"/>
    <x:col min="3" max="3" width="46" hidden="0" customWidth="1"/>
    <x:col min="4" max="4" width="15" hidden="0" customWidth="1"/>
    <x:col min="5" max="5" width="46" hidden="0" customWidth="1"/>
    <x:col min="6" max="6" width="25" hidden="0" customWidth="1"/>
    <x:col min="7" max="7" width="42" hidden="0" customWidth="1"/>
  </x:cols>
  <x:sheetData>
    <x:row r="1" ht="28" customHeight="1">
      <x:c r="A1" s="62" t="str">
        <x:v>Stakeholder Feedback Register</x:v>
      </x:c>
      <x:c r="B1" s="5"/>
      <x:c r="C1" s="5"/>
      <x:c r="D1" s="5"/>
      <x:c r="E1" s="5"/>
      <x:c r="F1" s="5"/>
      <x:c r="G1" s="5"/>
    </x:row>
    <x:row r="2" ht="34" customHeight="1">
      <x:c r="A2" s="14" t="str">
        <x:v>Stakeholder groups are used instead of invented personal names. After uploading to Google Sheets, use comments on Feedback cells for threaded responses and real-time discussion.</x:v>
      </x:c>
      <x:c r="B2" s="14"/>
      <x:c r="C2" s="14"/>
      <x:c r="D2" s="14"/>
      <x:c r="E2" s="14"/>
      <x:c r="F2" s="14"/>
      <x:c r="G2" s="14"/>
    </x:row>
    <x:row r="4" ht="42" customHeight="1">
      <x:c r="A4" s="64" t="str">
        <x:v>Stakeholder Name / Group</x:v>
      </x:c>
      <x:c r="B4" s="24" t="str">
        <x:v>Role</x:v>
      </x:c>
      <x:c r="C4" s="24" t="str">
        <x:v>Feedback</x:v>
      </x:c>
      <x:c r="D4" s="24" t="str">
        <x:v>Status</x:v>
      </x:c>
      <x:c r="E4" s="24" t="str">
        <x:v>Action Item</x:v>
      </x:c>
      <x:c r="F4" s="24" t="str">
        <x:v>Assigned To</x:v>
      </x:c>
      <x:c r="G4" s="24" t="str">
        <x:v>Response / Follow-up Notes</x:v>
      </x:c>
    </x:row>
    <x:row r="5" ht="56" customHeight="1">
      <x:c r="A5" s="72" t="str">
        <x:v>Municipal Forestry Operations</x:v>
      </x:c>
      <x:c r="B5" s="72" t="str">
        <x:v>Operations Manager / primary daily user</x:v>
      </x:c>
      <x:c r="C5" s="72" t="str">
        <x:v>Needs clear risk-score explanations and the ability to override or escalate DSS recommendations.</x:v>
      </x:c>
      <x:c r="D5" s="72" t="str">
        <x:v>In Progress</x:v>
      </x:c>
      <x:c r="E5" s="72" t="str">
        <x:v>Add an explanation panel, override workflow, and monthly steering-committee review.</x:v>
      </x:c>
      <x:c r="F5" s="72" t="str">
        <x:v>Data Science &amp; IT Team</x:v>
      </x:c>
      <x:c r="G5" s="72" t="str">
        <x:v>Confirm override rules during the two-day manager workshop.</x:v>
      </x:c>
    </x:row>
    <x:row r="6" ht="56" customHeight="1">
      <x:c r="A6" s="78" t="str">
        <x:v>Finance Leadership</x:v>
      </x:c>
      <x:c r="B6" s="78" t="str">
        <x:v>CFO / investment decision-maker</x:v>
      </x:c>
      <x:c r="C6" s="78" t="str">
        <x:v>Requires evidence that the $45,000 investment can generate measurable savings and a reasonable payback period.</x:v>
      </x:c>
      <x:c r="D6" s="78" t="str">
        <x:v>Pending</x:v>
      </x:c>
      <x:c r="E6" s="78" t="str">
        <x:v>Build a quarterly ROI report comparing actual savings with the projected $115,000 annual benefit.</x:v>
      </x:c>
      <x:c r="F6" s="78" t="str">
        <x:v>Finance &amp; Analytics Team</x:v>
      </x:c>
      <x:c r="G6" s="78" t="str">
        <x:v>Include implementation cost, avoided emergency surcharges, and variance explanations.</x:v>
      </x:c>
    </x:row>
    <x:row r="7" ht="56" customHeight="1">
      <x:c r="A7" s="72" t="str">
        <x:v>Municipal Forestry Field Crews</x:v>
      </x:c>
      <x:c r="B7" s="72" t="str">
        <x:v>Front-line users executing work orders</x:v>
      </x:c>
      <x:c r="C7" s="72" t="str">
        <x:v>AI-generated work orders must be simple, practical, and compatible with field operations.</x:v>
      </x:c>
      <x:c r="D7" s="72" t="str">
        <x:v>Pending</x:v>
      </x:c>
      <x:c r="E7" s="72" t="str">
        <x:v>Simplify the work-order view and provide a three-hour field orientation.</x:v>
      </x:c>
      <x:c r="F7" s="72" t="str">
        <x:v>Training Lead</x:v>
      </x:c>
      <x:c r="G7" s="72" t="str">
        <x:v>Collect usability feedback during the first two pilot weeks.</x:v>
      </x:c>
    </x:row>
    <x:row r="8" ht="56" customHeight="1">
      <x:c r="A8" s="78" t="str">
        <x:v>Data Science Team</x:v>
      </x:c>
      <x:c r="B8" s="78" t="str">
        <x:v>Model development and monitoring</x:v>
      </x:c>
      <x:c r="C8" s="78" t="str">
        <x:v>Missing DBH values, invalid GPS coordinates, and inconsistent municipal schemas could reduce reliability.</x:v>
      </x:c>
      <x:c r="D8" s="78" t="str">
        <x:v>In Progress</x:v>
      </x:c>
      <x:c r="E8" s="78" t="str">
        <x:v>Implement automated quality checks and enforce a data-completeness target above 95%.</x:v>
      </x:c>
      <x:c r="F8" s="78" t="str">
        <x:v>Data Engineering Team</x:v>
      </x:c>
      <x:c r="G8" s="78" t="str">
        <x:v>Pause or flag model outputs when the quality threshold is not met.</x:v>
      </x:c>
    </x:row>
    <x:row r="9" ht="56" customHeight="1">
      <x:c r="A9" s="72" t="str">
        <x:v>IT and Security</x:v>
      </x:c>
      <x:c r="B9" s="72" t="str">
        <x:v>Platform support, access control, and resilience</x:v>
      </x:c>
      <x:c r="C9" s="72" t="str">
        <x:v>The system requires secure access, backups, role-based permissions, and reliable pilot support.</x:v>
      </x:c>
      <x:c r="D9" s="72" t="str">
        <x:v>Pending</x:v>
      </x:c>
      <x:c r="E9" s="72" t="str">
        <x:v>Configure the secure cloud environment, access roles, monitoring, and backup procedures.</x:v>
      </x:c>
      <x:c r="F9" s="72" t="str">
        <x:v>IT Team</x:v>
      </x:c>
      <x:c r="G9" s="72" t="str">
        <x:v>Maintain a maximum 24-hour helpdesk response during the pilot.</x:v>
      </x:c>
    </x:row>
    <x:row r="10" ht="56" customHeight="1">
      <x:c r="A10" s="78" t="str">
        <x:v>Community Representatives</x:v>
      </x:c>
      <x:c r="B10" s="78" t="str">
        <x:v>Public and neighbourhood stakeholders</x:v>
      </x:c>
      <x:c r="C10" s="78" t="str">
        <x:v>Residents need a transparent explanation of why lower-canopy and more vulnerable areas receive priority.</x:v>
      </x:c>
      <x:c r="D10" s="78" t="str">
        <x:v>Pending</x:v>
      </x:c>
      <x:c r="E10" s="78" t="str">
        <x:v>Publish a plain-language project page and host a public community engagement session.</x:v>
      </x:c>
      <x:c r="F10" s="78" t="str">
        <x:v>Communications Team</x:v>
      </x:c>
      <x:c r="G10" s="78" t="str">
        <x:v>Explain environmental equity without presenting the DSS as fully autonomous.</x:v>
      </x:c>
    </x:row>
    <x:row r="11" ht="56" customHeight="1">
      <x:c r="A11" s="72" t="str">
        <x:v>Forest Heights Pilot Residents</x:v>
      </x:c>
      <x:c r="B11" s="72" t="str">
        <x:v>Residents in census tract 0008.01</x:v>
      </x:c>
      <x:c r="C11" s="72" t="str">
        <x:v>Residents may be concerned about temporary disruption during pilot pruning and maintenance activities.</x:v>
      </x:c>
      <x:c r="D11" s="72" t="str">
        <x:v>Resolved</x:v>
      </x:c>
      <x:c r="E11" s="72" t="str">
        <x:v>Publish the pilot schedule, contact channel, and expected neighbourhood benefits.</x:v>
      </x:c>
      <x:c r="F11" s="72" t="str">
        <x:v>Community Engagement Team</x:v>
      </x:c>
      <x:c r="G11" s="72" t="str">
        <x:v>Initial communication package drafted for release before field deployment.</x:v>
      </x:c>
    </x:row>
    <x:row r="12" ht="56" customHeight="1">
      <x:c r="A12" s="78" t="str">
        <x:v>Environmental Planning / ESPA</x:v>
      </x:c>
      <x:c r="B12" s="78" t="str">
        <x:v>Policy and protected-area oversight</x:v>
      </x:c>
      <x:c r="C12" s="78" t="str">
        <x:v>The prioritization process must respect environmentally sensitive areas and municipal planning requirements.</x:v>
      </x:c>
      <x:c r="D12" s="78" t="str">
        <x:v>Pending</x:v>
      </x:c>
      <x:c r="E12" s="78" t="str">
        <x:v>Review zoning constraints and confirm that ESPA rules are included in the DSS workflow.</x:v>
      </x:c>
      <x:c r="F12" s="78" t="str">
        <x:v>Environmental Planning Team</x:v>
      </x:c>
      <x:c r="G12" s="78" t="str">
        <x:v>Complete policy review before pilot work orders are released.</x:v>
      </x:c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</x:sheetData>
  <x:mergeCells>
    <x:mergeCell ref="A1:G1"/>
    <x:mergeCell ref="A2:G2"/>
  </x:mergeCells>
  <x:conditionalFormatting sqref="D5:D100">
    <x:cfRule type="expression" dxfId="3" priority="1">
      <x:formula>D5="Pending"</x:formula>
    </x:cfRule>
    <x:cfRule type="expression" dxfId="4" priority="2">
      <x:formula>D5="In Progress"</x:formula>
    </x:cfRule>
    <x:cfRule type="expression" dxfId="5" priority="3">
      <x:formula>D5="Resolved"</x:formula>
    </x:cfRule>
  </x:conditionalFormatting>
  <x:dataValidations count="1">
    <x:dataValidation type="list" sqref="D5:D100">
      <x:formula1>"Pending,In Progress,Resolved"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d13f7536d945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40" hidden="0" customWidth="1"/>
    <x:col min="4" max="4" width="24" hidden="0" customWidth="1"/>
    <x:col min="5" max="5" width="18" hidden="0" customWidth="1"/>
    <x:col min="6" max="6" width="15" hidden="0" customWidth="1"/>
    <x:col min="7" max="7" width="48" hidden="0" customWidth="1"/>
  </x:cols>
  <x:sheetData>
    <x:row r="1" ht="28" customHeight="1">
      <x:c r="A1" s="62" t="str">
        <x:v>AI Adoption Training Schedule</x:v>
      </x:c>
      <x:c r="B1" s="5"/>
      <x:c r="C1" s="5"/>
      <x:c r="D1" s="5"/>
      <x:c r="E1" s="5"/>
      <x:c r="F1" s="5"/>
      <x:c r="G1" s="5"/>
    </x:row>
    <x:row r="2" ht="34" customHeight="1">
      <x:c r="A2" s="14" t="str">
        <x:v>Training is aligned with the change-management plan: manager workshops, field orientation, data-quality instruction, pilot support, and final lessons learned.</x:v>
      </x:c>
      <x:c r="B2" s="14"/>
      <x:c r="C2" s="14"/>
      <x:c r="D2" s="14"/>
      <x:c r="E2" s="14"/>
      <x:c r="F2" s="14"/>
      <x:c r="G2" s="14"/>
    </x:row>
    <x:row r="4" ht="42" customHeight="1">
      <x:c r="A4" s="64" t="str">
        <x:v>Training Session</x:v>
      </x:c>
      <x:c r="B4" s="24" t="str">
        <x:v>Date</x:v>
      </x:c>
      <x:c r="C4" s="24" t="str">
        <x:v>Participants</x:v>
      </x:c>
      <x:c r="D4" s="24" t="str">
        <x:v>Facilitator</x:v>
      </x:c>
      <x:c r="E4" s="24" t="str">
        <x:v>Completion Status</x:v>
      </x:c>
      <x:c r="F4" s="24" t="str">
        <x:v>Attendance (%)</x:v>
      </x:c>
      <x:c r="G4" s="24" t="str">
        <x:v>Expected Outcome / Materials</x:v>
      </x:c>
    </x:row>
    <x:row r="5" ht="48" customHeight="1">
      <x:c r="A5" s="72" t="str">
        <x:v>DSS Overview and AI Basics</x:v>
      </x:c>
      <x:c r="B5" s="71" t="n">
        <x:v>46252</x:v>
      </x:c>
      <x:c r="C5" s="72" t="str">
        <x:v>Operations Manager, CFO, Data Scientist, IT Lead</x:v>
      </x:c>
      <x:c r="D5" s="72" t="str">
        <x:v>Change Management Lead</x:v>
      </x:c>
      <x:c r="E5" s="72" t="str">
        <x:v>Not Started</x:v>
      </x:c>
      <x:c r="F5" s="82" t="n">
        <x:v>0</x:v>
      </x:c>
      <x:c r="G5" s="72" t="str">
        <x:v>Shared understanding of project purpose, scope, human oversight, and adoption timeline.</x:v>
      </x:c>
    </x:row>
    <x:row r="6" ht="48" customHeight="1">
      <x:c r="A6" s="78" t="str">
        <x:v>Responsible AI, Data Ethics, and Canopy Equity</x:v>
      </x:c>
      <x:c r="B6" s="77" t="n">
        <x:v>46254</x:v>
      </x:c>
      <x:c r="C6" s="78" t="str">
        <x:v>Managers, analysts, communications staff</x:v>
      </x:c>
      <x:c r="D6" s="78" t="str">
        <x:v>AI Governance Lead</x:v>
      </x:c>
      <x:c r="E6" s="78" t="str">
        <x:v>Not Started</x:v>
      </x:c>
      <x:c r="F6" s="84" t="n">
        <x:v>0</x:v>
      </x:c>
      <x:c r="G6" s="78" t="str">
        <x:v>Plain-language guide to transparency, equity weighting, privacy, and public accountability.</x:v>
      </x:c>
    </x:row>
    <x:row r="7" ht="48" customHeight="1">
      <x:c r="A7" s="72" t="str">
        <x:v>Operations Manager Workshop – Day 1</x:v>
      </x:c>
      <x:c r="B7" s="71" t="n">
        <x:v>46258</x:v>
      </x:c>
      <x:c r="C7" s="72" t="str">
        <x:v>Operations managers and supervisors</x:v>
      </x:c>
      <x:c r="D7" s="72" t="str">
        <x:v>DSS Product Lead</x:v>
      </x:c>
      <x:c r="E7" s="72" t="str">
        <x:v>Not Started</x:v>
      </x:c>
      <x:c r="F7" s="82" t="n">
        <x:v>0</x:v>
      </x:c>
      <x:c r="G7" s="72" t="str">
        <x:v>Dashboard navigation, priority rankings, data-quality indicators, and work-order review.</x:v>
      </x:c>
    </x:row>
    <x:row r="8" ht="48" customHeight="1">
      <x:c r="A8" s="78" t="str">
        <x:v>Operations Manager Workshop – Day 2</x:v>
      </x:c>
      <x:c r="B8" s="77" t="n">
        <x:v>46259</x:v>
      </x:c>
      <x:c r="C8" s="78" t="str">
        <x:v>Operations managers and supervisors</x:v>
      </x:c>
      <x:c r="D8" s="78" t="str">
        <x:v>Data Science Lead</x:v>
      </x:c>
      <x:c r="E8" s="78" t="str">
        <x:v>Not Started</x:v>
      </x:c>
      <x:c r="F8" s="84" t="n">
        <x:v>0</x:v>
      </x:c>
      <x:c r="G8" s="78" t="str">
        <x:v>Risk-score interpretation, override authority, escalation rules, and scenario practice.</x:v>
      </x:c>
    </x:row>
    <x:row r="9" ht="48" customHeight="1">
      <x:c r="A9" s="72" t="str">
        <x:v>Forestry Field Staff Orientation</x:v>
      </x:c>
      <x:c r="B9" s="71" t="n">
        <x:v>46261</x:v>
      </x:c>
      <x:c r="C9" s="72" t="str">
        <x:v>Arborists, crew leads, dispatch staff</x:v>
      </x:c>
      <x:c r="D9" s="72" t="str">
        <x:v>Operations Manager</x:v>
      </x:c>
      <x:c r="E9" s="72" t="str">
        <x:v>Not Started</x:v>
      </x:c>
      <x:c r="F9" s="82" t="n">
        <x:v>0</x:v>
      </x:c>
      <x:c r="G9" s="72" t="str">
        <x:v>Three-hour practical briefing on AI-generated work orders and field feedback.</x:v>
      </x:c>
    </x:row>
    <x:row r="10" ht="48" customHeight="1">
      <x:c r="A10" s="78" t="str">
        <x:v>Data Quality and GIS Workflow Training</x:v>
      </x:c>
      <x:c r="B10" s="77" t="n">
        <x:v>46265</x:v>
      </x:c>
      <x:c r="C10" s="78" t="str">
        <x:v>Data engineers, GIS analysts, operations data stewards</x:v>
      </x:c>
      <x:c r="D10" s="78" t="str">
        <x:v>Data Engineering Lead</x:v>
      </x:c>
      <x:c r="E10" s="78" t="str">
        <x:v>Not Started</x:v>
      </x:c>
      <x:c r="F10" s="84" t="n">
        <x:v>0</x:v>
      </x:c>
      <x:c r="G10" s="78" t="str">
        <x:v>DBH/GPS validation, tri-city schema standards, exception handling, and &gt;95% completeness KPI.</x:v>
      </x:c>
    </x:row>
    <x:row r="11" ht="48" customHeight="1">
      <x:c r="A11" s="72" t="str">
        <x:v>Pilot Support Check-in 1</x:v>
      </x:c>
      <x:c r="B11" s="71" t="n">
        <x:v>46280</x:v>
      </x:c>
      <x:c r="C11" s="72" t="str">
        <x:v>Pilot users and helpdesk staff</x:v>
      </x:c>
      <x:c r="D11" s="72" t="str">
        <x:v>Change Management Lead</x:v>
      </x:c>
      <x:c r="E11" s="72" t="str">
        <x:v>Not Started</x:v>
      </x:c>
      <x:c r="F11" s="82" t="n">
        <x:v>0</x:v>
      </x:c>
      <x:c r="G11" s="72" t="str">
        <x:v>Review early usability issues, training gaps, overrides, and support tickets.</x:v>
      </x:c>
    </x:row>
    <x:row r="12" ht="48" customHeight="1">
      <x:c r="A12" s="78" t="str">
        <x:v>Pilot Support Check-in 2</x:v>
      </x:c>
      <x:c r="B12" s="77" t="n">
        <x:v>46310</x:v>
      </x:c>
      <x:c r="C12" s="78" t="str">
        <x:v>Pilot users, finance, data science, IT</x:v>
      </x:c>
      <x:c r="D12" s="78" t="str">
        <x:v>Steering Committee</x:v>
      </x:c>
      <x:c r="E12" s="78" t="str">
        <x:v>Not Started</x:v>
      </x:c>
      <x:c r="F12" s="84" t="n">
        <x:v>0</x:v>
      </x:c>
      <x:c r="G12" s="78" t="str">
        <x:v>Review mid-pilot progress, KPI trends, ROI evidence, and corrective actions.</x:v>
      </x:c>
    </x:row>
    <x:row r="13" ht="48" customHeight="1">
      <x:c r="A13" s="72" t="str">
        <x:v>Pilot Evaluation and Lessons Learned</x:v>
      </x:c>
      <x:c r="B13" s="71" t="n">
        <x:v>46342</x:v>
      </x:c>
      <x:c r="C13" s="72" t="str">
        <x:v>All key stakeholders</x:v>
      </x:c>
      <x:c r="D13" s="72" t="str">
        <x:v>Project Sponsor</x:v>
      </x:c>
      <x:c r="E13" s="72" t="str">
        <x:v>Not Started</x:v>
      </x:c>
      <x:c r="F13" s="82" t="n">
        <x:v>0</x:v>
      </x:c>
      <x:c r="G13" s="72" t="str">
        <x:v>Confirm lessons learned and readiness recommendation for tri-city expansion.</x:v>
      </x:c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</x:sheetData>
  <x:mergeCells>
    <x:mergeCell ref="A1:G1"/>
    <x:mergeCell ref="A2:G2"/>
  </x:mergeCells>
  <x:conditionalFormatting sqref="E5:E100">
    <x:cfRule type="expression" dxfId="6" priority="1">
      <x:formula>E5="Not Started"</x:formula>
    </x:cfRule>
    <x:cfRule type="expression" dxfId="7" priority="2">
      <x:formula>E5="In Progress"</x:formula>
    </x:cfRule>
    <x:cfRule type="expression" dxfId="8" priority="3">
      <x:formula>E5="Completed"</x:formula>
    </x:cfRule>
  </x:conditionalFormatting>
  <x:conditionalFormatting sqref="F5:F100">
    <x:cfRule type="dataBar" priority="4">
      <x:dataBar>
        <x:cfvo type="min"/>
        <x:cfvo type="max"/>
        <x:color rgb="FF808080"/>
      </x:dataBar>
      <x:extLst>
        <x:ext xmlns:x14="http://schemas.microsoft.com/office/spreadsheetml/2009/9/main" uri="{B025F937-C7B1-47D3-B67F-A62EFF666E3E}">
          <x14:id>{676E5F22-4372-9A1B-8044-F7EFCDCD2BE2}</x14:id>
        </x:ext>
      </x:extLst>
    </x:cfRule>
  </x:conditionalFormatting>
  <x:dataValidations count="1">
    <x:dataValidation type="list" sqref="E5:E100">
      <x:formula1>"Not Started,In Progress,Completed"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5cf2321d1a4cd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676E5F22-4372-9A1B-8044-F7EFCDCD2BE2}">
            <x14:dataBar gradient="1">
              <x14:cfvo type="min"/>
              <x14:cfvo type="max"/>
              <x14:fillColor rgb="FF808080"/>
            </x14:dataBar>
          </x14:cfRule>
          <xm:sqref>F5:F100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5" hidden="0" customWidth="1"/>
    <x:col min="3" max="3" width="13" hidden="0" customWidth="1"/>
    <x:col min="4" max="4" width="14" hidden="0" customWidth="1"/>
    <x:col min="5" max="5" width="16" hidden="0" customWidth="1"/>
    <x:col min="6" max="6" width="12" hidden="0" customWidth="1"/>
    <x:col min="7" max="7" width="38" hidden="0" customWidth="1"/>
    <x:col min="8" max="8" width="16" hidden="0" customWidth="1"/>
  </x:cols>
  <x:sheetData>
    <x:row r="1" ht="28" customHeight="1">
      <x:c r="A1" s="62" t="str">
        <x:v>AI Adoption Progress Tracker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4" t="str">
        <x:v>Status is selected from a dropdown; Schedule Health is calculated automatically from the deadline and completion status. Progress values use conditional-formatting data bars.</x:v>
      </x:c>
      <x:c r="B2" s="14"/>
      <x:c r="C2" s="14"/>
      <x:c r="D2" s="14"/>
      <x:c r="E2" s="14"/>
      <x:c r="F2" s="14"/>
      <x:c r="G2" s="14"/>
      <x:c r="H2" s="14"/>
    </x:row>
    <x:row r="4" ht="42" customHeight="1">
      <x:c r="A4" s="64" t="str">
        <x:v>Task</x:v>
      </x:c>
      <x:c r="B4" s="24" t="str">
        <x:v>Responsible Team</x:v>
      </x:c>
      <x:c r="C4" s="24" t="str">
        <x:v>Deadline</x:v>
      </x:c>
      <x:c r="D4" s="24" t="str">
        <x:v>Progress (%)</x:v>
      </x:c>
      <x:c r="E4" s="24" t="str">
        <x:v>Status</x:v>
      </x:c>
      <x:c r="F4" s="24" t="str">
        <x:v>Priority</x:v>
      </x:c>
      <x:c r="G4" s="24" t="str">
        <x:v>Dependency / Deliverable</x:v>
      </x:c>
      <x:c r="H4" s="24" t="str">
        <x:v>Schedule Health</x:v>
      </x:c>
    </x:row>
    <x:row r="5" ht="24" customHeight="1">
      <x:c r="A5" s="72" t="str">
        <x:v>Confirm AI use case and Forest Heights pilot objectives</x:v>
      </x:c>
      <x:c r="B5" s="72" t="str">
        <x:v>Strategy &amp; Operations</x:v>
      </x:c>
      <x:c r="C5" s="71" t="n">
        <x:v>46234</x:v>
      </x:c>
      <x:c r="D5" s="82" t="n">
        <x:v>60</x:v>
      </x:c>
      <x:c r="E5" s="72" t="str">
        <x:v>In Progress</x:v>
      </x:c>
      <x:c r="F5" s="72" t="str">
        <x:v>Critical</x:v>
      </x:c>
      <x:c r="G5" s="72" t="str">
        <x:v>Approved pilot charter</x:v>
      </x:c>
      <x:c r="H5" s="72" t="str">
        <x:f>IF(E5="Completed","Complete",IF(C5&lt;TODAY(),"Overdue",IF(C5-TODAY()&lt;=7,"Due Soon","On Track")))</x:f>
        <x:v>On Track</x:v>
      </x:c>
    </x:row>
    <x:row r="6" ht="24" customHeight="1">
      <x:c r="A6" s="78" t="str">
        <x:v>Complete stakeholder register and communication plan</x:v>
      </x:c>
      <x:c r="B6" s="78" t="str">
        <x:v>Change Management</x:v>
      </x:c>
      <x:c r="C6" s="77" t="n">
        <x:v>46241</x:v>
      </x:c>
      <x:c r="D6" s="84" t="n">
        <x:v>35</x:v>
      </x:c>
      <x:c r="E6" s="78" t="str">
        <x:v>In Progress</x:v>
      </x:c>
      <x:c r="F6" s="78" t="str">
        <x:v>High</x:v>
      </x:c>
      <x:c r="G6" s="78" t="str">
        <x:v>Stakeholder approval</x:v>
      </x:c>
      <x:c r="H6" s="78" t="str">
        <x:f>IF(E6="Completed","Complete",IF(C6&lt;TODAY(),"Overdue",IF(C6-TODAY()&lt;=7,"Due Soon","On Track")))</x:f>
        <x:v>On Track</x:v>
      </x:c>
    </x:row>
    <x:row r="7" ht="24" customHeight="1">
      <x:c r="A7" s="72" t="str">
        <x:v>Audit and harmonize tri-city tree datasets</x:v>
      </x:c>
      <x:c r="B7" s="72" t="str">
        <x:v>Data Engineering</x:v>
      </x:c>
      <x:c r="C7" s="71" t="n">
        <x:v>46248</x:v>
      </x:c>
      <x:c r="D7" s="82" t="n">
        <x:v>20</x:v>
      </x:c>
      <x:c r="E7" s="72" t="str">
        <x:v>In Progress</x:v>
      </x:c>
      <x:c r="F7" s="72" t="str">
        <x:v>Critical</x:v>
      </x:c>
      <x:c r="G7" s="72" t="str">
        <x:v>Waterloo, Kitchener, and Cambridge schema map</x:v>
      </x:c>
      <x:c r="H7" s="72" t="str">
        <x:f>IF(E7="Completed","Complete",IF(C7&lt;TODAY(),"Overdue",IF(C7-TODAY()&lt;=7,"Due Soon","On Track")))</x:f>
        <x:v>On Track</x:v>
      </x:c>
    </x:row>
    <x:row r="8" ht="24" customHeight="1">
      <x:c r="A8" s="78" t="str">
        <x:v>Define automated data-quality rules and &gt;95% KPI</x:v>
      </x:c>
      <x:c r="B8" s="78" t="str">
        <x:v>Data Engineering</x:v>
      </x:c>
      <x:c r="C8" s="77" t="n">
        <x:v>46255</x:v>
      </x:c>
      <x:c r="D8" s="84" t="n">
        <x:v>10</x:v>
      </x:c>
      <x:c r="E8" s="78" t="str">
        <x:v>In Progress</x:v>
      </x:c>
      <x:c r="F8" s="78" t="str">
        <x:v>Critical</x:v>
      </x:c>
      <x:c r="G8" s="78" t="str">
        <x:v>Validated DBH and GPS fields</x:v>
      </x:c>
      <x:c r="H8" s="78" t="str">
        <x:f>IF(E8="Completed","Complete",IF(C8&lt;TODAY(),"Overdue",IF(C8-TODAY()&lt;=7,"Due Soon","On Track")))</x:f>
        <x:v>On Track</x:v>
      </x:c>
    </x:row>
    <x:row r="9" ht="24" customHeight="1">
      <x:c r="A9" s="72" t="str">
        <x:v>Configure tree risk scoring and budget engine</x:v>
      </x:c>
      <x:c r="B9" s="72" t="str">
        <x:v>Data Science</x:v>
      </x:c>
      <x:c r="C9" s="71" t="n">
        <x:v>46269</x:v>
      </x:c>
      <x:c r="D9" s="82" t="n">
        <x:v>0</x:v>
      </x:c>
      <x:c r="E9" s="72" t="str">
        <x:v>Not Started</x:v>
      </x:c>
      <x:c r="F9" s="72" t="str">
        <x:v>Critical</x:v>
      </x:c>
      <x:c r="G9" s="72" t="str">
        <x:v>Clean, approved training data</x:v>
      </x:c>
      <x:c r="H9" s="72" t="str">
        <x:f>IF(E9="Completed","Complete",IF(C9&lt;TODAY(),"Overdue",IF(C9-TODAY()&lt;=7,"Due Soon","On Track")))</x:f>
        <x:v>On Track</x:v>
      </x:c>
    </x:row>
    <x:row r="10" ht="24" customHeight="1">
      <x:c r="A10" s="78" t="str">
        <x:v>Build DSS dashboard and role-based access</x:v>
      </x:c>
      <x:c r="B10" s="78" t="str">
        <x:v>Data Science &amp; IT</x:v>
      </x:c>
      <x:c r="C10" s="77" t="n">
        <x:v>46283</x:v>
      </x:c>
      <x:c r="D10" s="84" t="n">
        <x:v>0</x:v>
      </x:c>
      <x:c r="E10" s="78" t="str">
        <x:v>Not Started</x:v>
      </x:c>
      <x:c r="F10" s="78" t="str">
        <x:v>High</x:v>
      </x:c>
      <x:c r="G10" s="78" t="str">
        <x:v>Risk engine and security design</x:v>
      </x:c>
      <x:c r="H10" s="78" t="str">
        <x:f>IF(E10="Completed","Complete",IF(C10&lt;TODAY(),"Overdue",IF(C10-TODAY()&lt;=7,"Due Soon","On Track")))</x:f>
        <x:v>On Track</x:v>
      </x:c>
    </x:row>
    <x:row r="11" ht="24" customHeight="1">
      <x:c r="A11" s="72" t="str">
        <x:v>Deliver manager and field staff training</x:v>
      </x:c>
      <x:c r="B11" s="72" t="str">
        <x:v>Training &amp; Change</x:v>
      </x:c>
      <x:c r="C11" s="71" t="n">
        <x:v>46265</x:v>
      </x:c>
      <x:c r="D11" s="82" t="n">
        <x:v>0</x:v>
      </x:c>
      <x:c r="E11" s="72" t="str">
        <x:v>Not Started</x:v>
      </x:c>
      <x:c r="F11" s="72" t="str">
        <x:v>High</x:v>
      </x:c>
      <x:c r="G11" s="72" t="str">
        <x:v>Training materials and user accounts</x:v>
      </x:c>
      <x:c r="H11" s="72" t="str">
        <x:f>IF(E11="Completed","Complete",IF(C11&lt;TODAY(),"Overdue",IF(C11-TODAY()&lt;=7,"Due Soon","On Track")))</x:f>
        <x:v>On Track</x:v>
      </x:c>
    </x:row>
    <x:row r="12" ht="24" customHeight="1">
      <x:c r="A12" s="78" t="str">
        <x:v>Deploy Forest Heights pilot</x:v>
      </x:c>
      <x:c r="B12" s="78" t="str">
        <x:v>Operations &amp; IT</x:v>
      </x:c>
      <x:c r="C12" s="77" t="n">
        <x:v>46266</x:v>
      </x:c>
      <x:c r="D12" s="84" t="n">
        <x:v>0</x:v>
      </x:c>
      <x:c r="E12" s="78" t="str">
        <x:v>Not Started</x:v>
      </x:c>
      <x:c r="F12" s="78" t="str">
        <x:v>Critical</x:v>
      </x:c>
      <x:c r="G12" s="78" t="str">
        <x:v>Training complete and pilot environment ready</x:v>
      </x:c>
      <x:c r="H12" s="78" t="str">
        <x:f>IF(E12="Completed","Complete",IF(C12&lt;TODAY(),"Overdue",IF(C12-TODAY()&lt;=7,"Due Soon","On Track")))</x:f>
        <x:v>On Track</x:v>
      </x:c>
    </x:row>
    <x:row r="13" ht="24" customHeight="1">
      <x:c r="A13" s="72" t="str">
        <x:v>Collect weekly stakeholder feedback</x:v>
      </x:c>
      <x:c r="B13" s="72" t="str">
        <x:v>Change Management</x:v>
      </x:c>
      <x:c r="C13" s="71" t="n">
        <x:v>46325</x:v>
      </x:c>
      <x:c r="D13" s="82" t="n">
        <x:v>0</x:v>
      </x:c>
      <x:c r="E13" s="72" t="str">
        <x:v>Not Started</x:v>
      </x:c>
      <x:c r="F13" s="72" t="str">
        <x:v>High</x:v>
      </x:c>
      <x:c r="G13" s="72" t="str">
        <x:v>Active pilot and feedback channels</x:v>
      </x:c>
      <x:c r="H13" s="72" t="str">
        <x:f>IF(E13="Completed","Complete",IF(C13&lt;TODAY(),"Overdue",IF(C13-TODAY()&lt;=7,"Due Soon","On Track")))</x:f>
        <x:v>On Track</x:v>
      </x:c>
    </x:row>
    <x:row r="14" ht="24" customHeight="1">
      <x:c r="A14" s="78" t="str">
        <x:v>Track model accuracy, data quality, and overrides</x:v>
      </x:c>
      <x:c r="B14" s="78" t="str">
        <x:v>Data Science</x:v>
      </x:c>
      <x:c r="C14" s="77" t="n">
        <x:v>46325</x:v>
      </x:c>
      <x:c r="D14" s="84" t="n">
        <x:v>0</x:v>
      </x:c>
      <x:c r="E14" s="78" t="str">
        <x:v>Not Started</x:v>
      </x:c>
      <x:c r="F14" s="78" t="str">
        <x:v>Critical</x:v>
      </x:c>
      <x:c r="G14" s="78" t="str">
        <x:v>Pilot usage and quality logs</x:v>
      </x:c>
      <x:c r="H14" s="78" t="str">
        <x:f>IF(E14="Completed","Complete",IF(C14&lt;TODAY(),"Overdue",IF(C14-TODAY()&lt;=7,"Due Soon","On Track")))</x:f>
        <x:v>On Track</x:v>
      </x:c>
    </x:row>
    <x:row r="15" ht="24" customHeight="1">
      <x:c r="A15" s="72" t="str">
        <x:v>Track avoided costs, savings, and ROI</x:v>
      </x:c>
      <x:c r="B15" s="72" t="str">
        <x:v>Finance &amp; Analytics</x:v>
      </x:c>
      <x:c r="C15" s="71" t="n">
        <x:v>46325</x:v>
      </x:c>
      <x:c r="D15" s="82" t="n">
        <x:v>0</x:v>
      </x:c>
      <x:c r="E15" s="72" t="str">
        <x:v>Not Started</x:v>
      </x:c>
      <x:c r="F15" s="72" t="str">
        <x:v>High</x:v>
      </x:c>
      <x:c r="G15" s="72" t="str">
        <x:v>Invoices and maintenance cost records</x:v>
      </x:c>
      <x:c r="H15" s="72" t="str">
        <x:f>IF(E15="Completed","Complete",IF(C15&lt;TODAY(),"Overdue",IF(C15-TODAY()&lt;=7,"Due Soon","On Track")))</x:f>
        <x:v>On Track</x:v>
      </x:c>
    </x:row>
    <x:row r="16" ht="24" customHeight="1">
      <x:c r="A16" s="78" t="str">
        <x:v>Review support tickets and workflow issues</x:v>
      </x:c>
      <x:c r="B16" s="78" t="str">
        <x:v>IT &amp; Operations</x:v>
      </x:c>
      <x:c r="C16" s="77" t="n">
        <x:v>46332</x:v>
      </x:c>
      <x:c r="D16" s="84" t="n">
        <x:v>0</x:v>
      </x:c>
      <x:c r="E16" s="78" t="str">
        <x:v>Not Started</x:v>
      </x:c>
      <x:c r="F16" s="78" t="str">
        <x:v>Medium</x:v>
      </x:c>
      <x:c r="G16" s="78" t="str">
        <x:v>Helpdesk and user feedback logs</x:v>
      </x:c>
      <x:c r="H16" s="78" t="str">
        <x:f>IF(E16="Completed","Complete",IF(C16&lt;TODAY(),"Overdue",IF(C16-TODAY()&lt;=7,"Due Soon","On Track")))</x:f>
        <x:v>On Track</x:v>
      </x:c>
    </x:row>
    <x:row r="17" ht="24" customHeight="1">
      <x:c r="A17" s="72" t="str">
        <x:v>Complete pilot evaluation report</x:v>
      </x:c>
      <x:c r="B17" s="72" t="str">
        <x:v>Steering Committee</x:v>
      </x:c>
      <x:c r="C17" s="71" t="n">
        <x:v>46342</x:v>
      </x:c>
      <x:c r="D17" s="82" t="n">
        <x:v>0</x:v>
      </x:c>
      <x:c r="E17" s="72" t="str">
        <x:v>Not Started</x:v>
      </x:c>
      <x:c r="F17" s="72" t="str">
        <x:v>Critical</x:v>
      </x:c>
      <x:c r="G17" s="72" t="str">
        <x:v>Technical, financial, and adoption evidence</x:v>
      </x:c>
      <x:c r="H17" s="72" t="str">
        <x:f>IF(E17="Completed","Complete",IF(C17&lt;TODAY(),"Overdue",IF(C17-TODAY()&lt;=7,"Due Soon","On Track")))</x:f>
        <x:v>On Track</x:v>
      </x:c>
    </x:row>
    <x:row r="18" ht="24" customHeight="1">
      <x:c r="A18" s="78" t="str">
        <x:v>Approve or revise the tri-city rollout plan</x:v>
      </x:c>
      <x:c r="B18" s="78" t="str">
        <x:v>Senior Leadership</x:v>
      </x:c>
      <x:c r="C18" s="77" t="n">
        <x:v>46346</x:v>
      </x:c>
      <x:c r="D18" s="84" t="n">
        <x:v>0</x:v>
      </x:c>
      <x:c r="E18" s="78" t="str">
        <x:v>Not Started</x:v>
      </x:c>
      <x:c r="F18" s="78" t="str">
        <x:v>High</x:v>
      </x:c>
      <x:c r="G18" s="78" t="str">
        <x:v>Pilot evaluation and public communication plan</x:v>
      </x:c>
      <x:c r="H18" s="78" t="str">
        <x:f>IF(E18="Completed","Complete",IF(C18&lt;TODAY(),"Overdue",IF(C18-TODAY()&lt;=7,"Due Soon","On Track")))</x:f>
        <x:v>On Track</x:v>
      </x:c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</x:sheetData>
  <x:mergeCells>
    <x:mergeCell ref="A1:H1"/>
    <x:mergeCell ref="A2:H2"/>
  </x:mergeCells>
  <x:conditionalFormatting sqref="E5:E100">
    <x:cfRule type="expression" dxfId="9" priority="1">
      <x:formula>E5="Not Started"</x:formula>
    </x:cfRule>
    <x:cfRule type="expression" dxfId="10" priority="2">
      <x:formula>E5="In Progress"</x:formula>
    </x:cfRule>
    <x:cfRule type="expression" dxfId="11" priority="3">
      <x:formula>E5="Completed"</x:formula>
    </x:cfRule>
  </x:conditionalFormatting>
  <x:conditionalFormatting sqref="D5:D100">
    <x:cfRule type="dataBar" priority="4">
      <x:dataBar>
        <x:cfvo type="min"/>
        <x:cfvo type="max"/>
        <x:color rgb="FF808080"/>
      </x:dataBar>
      <x:extLst>
        <x:ext xmlns:x14="http://schemas.microsoft.com/office/spreadsheetml/2009/9/main" uri="{B025F937-C7B1-47D3-B67F-A62EFF666E3E}">
          <x14:id>{986A033C-8DA4-5D13-B675-3586DA295D78}</x14:id>
        </x:ext>
      </x:extLst>
    </x:cfRule>
  </x:conditionalFormatting>
  <x:conditionalFormatting sqref="H5:H100">
    <x:cfRule type="expression" dxfId="12" priority="5">
      <x:formula>H5="Complete"</x:formula>
    </x:cfRule>
    <x:cfRule type="expression" dxfId="13" priority="6">
      <x:formula>H5="Overdue"</x:formula>
    </x:cfRule>
    <x:cfRule type="expression" dxfId="14" priority="7">
      <x:formula>H5="Due Soon"</x:formula>
    </x:cfRule>
    <x:cfRule type="expression" dxfId="15" priority="8">
      <x:formula>H5="On Track"</x:formula>
    </x:cfRule>
  </x:conditionalFormatting>
  <x:conditionalFormatting sqref="F5:F100">
    <x:cfRule type="expression" dxfId="16" priority="9">
      <x:formula>F5="Critical"</x:formula>
    </x:cfRule>
    <x:cfRule type="expression" dxfId="17" priority="10">
      <x:formula>F5="High"</x:formula>
    </x:cfRule>
    <x:cfRule type="expression" dxfId="18" priority="11">
      <x:formula>F5="Medium"</x:formula>
    </x:cfRule>
    <x:cfRule type="expression" dxfId="19" priority="12">
      <x:formula>F5="Low"</x:formula>
    </x:cfRule>
  </x:conditionalFormatting>
  <x:dataValidations count="2">
    <x:dataValidation type="list" sqref="E5:E100">
      <x:formula1>"Not Started,In Progress,Completed"</x:formula1>
    </x:dataValidation>
    <x:dataValidation type="list" sqref="F5:F1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bfde4b3e8c43a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986A033C-8DA4-5D13-B675-3586DA295D78}">
            <x14:dataBar gradient="1">
              <x14:cfvo type="min"/>
              <x14:cfvo type="max"/>
              <x14:fillColor rgb="FF808080"/>
            </x14:dataBar>
          </x14:cfRule>
          <xm:sqref>D5:D100</xm:sqref>
        </x14:conditionalFormatting>
      </x14:conditionalFormattings>
    </x:ext>
  </x:extLst>
</x:worksheet>
</file>