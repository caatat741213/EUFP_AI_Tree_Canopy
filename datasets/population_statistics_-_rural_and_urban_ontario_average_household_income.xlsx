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ontariogov-my.sharepoint.com/personal/julio_mendoza_ontario_ca/Documents/Documents/Economic Analysis Unit/Rural Statistics  -Census variables/Excels files for data catalogue/"/>
    </mc:Choice>
  </mc:AlternateContent>
  <xr:revisionPtr revIDLastSave="1" documentId="14_{7346F3FB-B27C-43B5-8BBE-F68D19B08B8B}" xr6:coauthVersionLast="47" xr6:coauthVersionMax="47" xr10:uidLastSave="{729E9842-7AA4-4839-8179-46C9CAB0F802}"/>
  <bookViews>
    <workbookView xWindow="16284" yWindow="-108" windowWidth="23256" windowHeight="12576" xr2:uid="{C9AEF2C7-737B-424F-B2B4-3B365A3F2EED}"/>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2" i="1" l="1"/>
  <c r="E57" i="1"/>
  <c r="E63" i="1"/>
  <c r="E105" i="1"/>
  <c r="E99" i="1"/>
  <c r="E93" i="1"/>
  <c r="E87" i="1"/>
  <c r="E81" i="1"/>
  <c r="E75" i="1"/>
  <c r="E69" i="1"/>
</calcChain>
</file>

<file path=xl/sharedStrings.xml><?xml version="1.0" encoding="utf-8"?>
<sst xmlns="http://schemas.openxmlformats.org/spreadsheetml/2006/main" count="95" uniqueCount="28">
  <si>
    <t>Average total income of households in rural and urban Ontario</t>
  </si>
  <si>
    <t xml:space="preserve">Ontario </t>
  </si>
  <si>
    <t>Rural</t>
  </si>
  <si>
    <t xml:space="preserve">Rural </t>
  </si>
  <si>
    <t>Urban</t>
  </si>
  <si>
    <t>Note: In the context of households, total income refers to receipts from certain sources of all household members, before income taxes and deductions, during a specified reference period. The monetary receipts included are those that tend to be of a regular and recurring nature.</t>
  </si>
  <si>
    <t>Source: OMAFRA calculations adapted from Statistics Canada. Census of Population, 1981-2016.</t>
  </si>
  <si>
    <t>Average household income for rural Ontario, by census year (1981-2021)</t>
  </si>
  <si>
    <t>Household income details</t>
  </si>
  <si>
    <t>1971 - Average head of Household Income ($)</t>
  </si>
  <si>
    <t>Ontario</t>
  </si>
  <si>
    <t>Average head of Household Income ($)</t>
  </si>
  <si>
    <t>Notes</t>
  </si>
  <si>
    <t>(a) For 1971 the income information collected refers to average head of household income.  Income in subsequent census years refers to Average total income of households.</t>
  </si>
  <si>
    <t>(b) For census purposes, every household must have a head. This is the husband if both husband and wife are present, the parent (regardless of age or dependency) if living with unmarried children, or any member of a group sharing a dwelling equally. The household head may or may not be the family head as well. A person occupying a dwelling alone is always reported as the head.</t>
  </si>
  <si>
    <t>(c) Total inicome refers to the total income received during 1970 from wages and salaries, business or professional government old age pensions, other government payments, retirement pensions from previous employment, bond and deposit interest and dividends, other investment sources, and other sources.</t>
  </si>
  <si>
    <t>1976 - Average total income of households ($)</t>
  </si>
  <si>
    <t>Average total income of households</t>
  </si>
  <si>
    <t>No data</t>
  </si>
  <si>
    <t>Note There is no published data available for the income variable</t>
  </si>
  <si>
    <t xml:space="preserve"> </t>
  </si>
  <si>
    <t>Source: OMAFRA calculations adapted from Statistics Canada. Census of Population, 1981.</t>
  </si>
  <si>
    <t>CMAs</t>
  </si>
  <si>
    <t>Source: OMAFRA calculations adapted from Statistics Canada. Census of Population, 2021.</t>
  </si>
  <si>
    <t>Rural/urban difference</t>
  </si>
  <si>
    <t>Source: OMAFRA calculations adapted from Statistics Canada. Census of Population, 1986.</t>
  </si>
  <si>
    <t>Source: OMAFRA calculations adapted from Statistics Canada. Census of Population, 1991.</t>
  </si>
  <si>
    <t>Source: OMAFRA calculations adapted from Statistics Canada. Census of Population, 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</si>
</sst>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quot;$&quot;#,##0"/>
    <numFmt numFmtId="165" formatCode="_-&quot;$&quot;* #,##0_-;\-&quot;$&quot;* #,##0_-;_-&quot;$&quot;* &quot;-&quot;??_-;_-@_-"/>
    <numFmt numFmtId="166" formatCode="_-&quot;$&quot;* #,##0_-;\-&quot;$&quot;* #,##0_-;_-&quot;$&quot;* &quot;-&quot;_-;_-@_-"/>
    <numFmt numFmtId="167" formatCode="&quot;$&quot;#,##0.0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Arial"/>
      <family val="2"/>
    </font>
    <font>
      <sz val="10"/>
      <color theme="1"/>
      <name val="Arial"/>
      <family val="2"/>
    </font>
    <font>
      <b/>
      <sz val="10"/>
      <color theme="1"/>
      <name val="Arial"/>
      <family val="2"/>
    </font>
    <font>
      <b/>
      <sz val="14"/>
      <color rgb="FF000000"/>
      <name val="Calibri"/>
      <family val="2"/>
      <scheme val="minor"/>
    </font>
    <font>
      <b/>
      <sz val="12"/>
      <color theme="1"/>
      <name val="Calibri"/>
      <family val="2"/>
      <scheme val="minor"/>
    </font>
    <font>
      <sz val="9"/>
      <color theme="1"/>
      <name val="Arial"/>
      <family val="2"/>
    </font>
    <font>
      <sz val="9"/>
      <color theme="1"/>
      <name val="Calibri"/>
      <family val="2"/>
      <scheme val="minor"/>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3" fillId="0" borderId="0" xfId="0" applyFont="1"/>
    <xf numFmtId="0" fontId="4" fillId="0" borderId="0" xfId="0" applyFont="1"/>
    <xf numFmtId="9" fontId="4" fillId="0" borderId="0" xfId="2" applyFont="1"/>
    <xf numFmtId="0" fontId="5" fillId="0" borderId="1" xfId="0" applyFont="1" applyBorder="1"/>
    <xf numFmtId="0" fontId="5" fillId="0" borderId="1" xfId="0" applyFont="1" applyBorder="1" applyAlignment="1">
      <alignment horizontal="center"/>
    </xf>
    <xf numFmtId="164" fontId="4" fillId="0" borderId="1" xfId="1" applyNumberFormat="1" applyFont="1" applyBorder="1"/>
    <xf numFmtId="9" fontId="4" fillId="0" borderId="0" xfId="2" applyFont="1" applyBorder="1"/>
    <xf numFmtId="165" fontId="4" fillId="0" borderId="0" xfId="1" applyNumberFormat="1" applyFont="1" applyBorder="1"/>
    <xf numFmtId="0" fontId="7" fillId="0" borderId="2" xfId="0" applyFont="1" applyBorder="1"/>
    <xf numFmtId="0" fontId="5" fillId="0" borderId="3" xfId="0" applyFont="1" applyBorder="1"/>
    <xf numFmtId="0" fontId="2" fillId="0" borderId="4" xfId="0" applyFont="1" applyBorder="1"/>
    <xf numFmtId="0" fontId="2" fillId="0" borderId="5" xfId="0" applyFont="1" applyBorder="1"/>
    <xf numFmtId="0" fontId="0" fillId="0" borderId="6" xfId="0" applyBorder="1"/>
    <xf numFmtId="166" fontId="0" fillId="0" borderId="7" xfId="0" applyNumberFormat="1" applyBorder="1"/>
    <xf numFmtId="166" fontId="0" fillId="0" borderId="8" xfId="0" applyNumberFormat="1" applyBorder="1"/>
    <xf numFmtId="6" fontId="0" fillId="0" borderId="0" xfId="0" applyNumberFormat="1"/>
    <xf numFmtId="0" fontId="8" fillId="0" borderId="0" xfId="0" applyFont="1"/>
    <xf numFmtId="165" fontId="8" fillId="0" borderId="0" xfId="1" applyNumberFormat="1" applyFont="1" applyBorder="1"/>
    <xf numFmtId="0" fontId="9" fillId="0" borderId="0" xfId="0" applyFont="1"/>
    <xf numFmtId="0" fontId="5" fillId="0" borderId="0" xfId="0" applyFont="1"/>
    <xf numFmtId="164" fontId="4" fillId="0" borderId="0" xfId="1" applyNumberFormat="1" applyFont="1" applyBorder="1"/>
    <xf numFmtId="0" fontId="6" fillId="0" borderId="0" xfId="0" applyFont="1" applyAlignment="1">
      <alignment horizontal="left" vertical="top" readingOrder="1"/>
    </xf>
    <xf numFmtId="0" fontId="2" fillId="0" borderId="0" xfId="0" applyFont="1"/>
    <xf numFmtId="167" fontId="0" fillId="0" borderId="0" xfId="0" applyNumberFormat="1"/>
    <xf numFmtId="9" fontId="0" fillId="0" borderId="0" xfId="2" applyFont="1"/>
    <xf numFmtId="0" fontId="2" fillId="0" borderId="5" xfId="0" applyFont="1" applyFill="1" applyBorder="1"/>
    <xf numFmtId="9" fontId="0" fillId="0" borderId="8" xfId="2" applyFont="1" applyBorder="1"/>
    <xf numFmtId="0" fontId="2" fillId="0" borderId="4" xfId="0" applyFont="1" applyBorder="1" applyAlignment="1">
      <alignment wrapText="1"/>
    </xf>
    <xf numFmtId="0" fontId="2" fillId="0" borderId="5" xfId="0" applyFont="1" applyBorder="1" applyAlignment="1">
      <alignment wrapText="1"/>
    </xf>
    <xf numFmtId="0" fontId="2" fillId="0" borderId="5" xfId="0" applyFont="1" applyFill="1" applyBorder="1" applyAlignment="1">
      <alignment wrapText="1"/>
    </xf>
    <xf numFmtId="0" fontId="5" fillId="0" borderId="3" xfId="0" applyFont="1" applyBorder="1" applyAlignment="1">
      <alignment horizontal="left"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19859251630621"/>
          <c:y val="0.13078029981785416"/>
          <c:w val="0.85822333791051608"/>
          <c:h val="0.66338245720652289"/>
        </c:manualLayout>
      </c:layout>
      <c:barChart>
        <c:barDir val="col"/>
        <c:grouping val="clustered"/>
        <c:varyColors val="0"/>
        <c:ser>
          <c:idx val="2"/>
          <c:order val="0"/>
          <c:tx>
            <c:strRef>
              <c:f>[1]Income!$B$5</c:f>
              <c:strCache>
                <c:ptCount val="1"/>
                <c:pt idx="0">
                  <c:v>Rural </c:v>
                </c:pt>
              </c:strCache>
            </c:strRef>
          </c:tx>
          <c:spPr>
            <a:solidFill>
              <a:schemeClr val="accent1"/>
            </a:solidFill>
            <a:ln>
              <a:solidFill>
                <a:schemeClr val="accent1"/>
              </a:solidFill>
            </a:ln>
            <a:effectLst/>
          </c:spPr>
          <c:invertIfNegative val="0"/>
          <c:cat>
            <c:numRef>
              <c:f>[1]Income!$C$3:$K$3</c:f>
              <c:numCache>
                <c:formatCode>General</c:formatCode>
                <c:ptCount val="9"/>
                <c:pt idx="0">
                  <c:v>1981</c:v>
                </c:pt>
                <c:pt idx="1">
                  <c:v>1986</c:v>
                </c:pt>
                <c:pt idx="2">
                  <c:v>1991</c:v>
                </c:pt>
                <c:pt idx="3">
                  <c:v>1996</c:v>
                </c:pt>
                <c:pt idx="4">
                  <c:v>2001</c:v>
                </c:pt>
                <c:pt idx="5">
                  <c:v>2006</c:v>
                </c:pt>
                <c:pt idx="6">
                  <c:v>2011</c:v>
                </c:pt>
                <c:pt idx="7">
                  <c:v>2016</c:v>
                </c:pt>
                <c:pt idx="8">
                  <c:v>2021</c:v>
                </c:pt>
              </c:numCache>
            </c:numRef>
          </c:cat>
          <c:val>
            <c:numRef>
              <c:f>[1]Income!$C$5:$K$5</c:f>
              <c:numCache>
                <c:formatCode>General</c:formatCode>
                <c:ptCount val="9"/>
                <c:pt idx="0">
                  <c:v>22532.309657031135</c:v>
                </c:pt>
                <c:pt idx="1">
                  <c:v>32566.127731881144</c:v>
                </c:pt>
                <c:pt idx="2">
                  <c:v>44909.212890723655</c:v>
                </c:pt>
                <c:pt idx="3">
                  <c:v>47901.033251017652</c:v>
                </c:pt>
                <c:pt idx="4">
                  <c:v>55811.141662169452</c:v>
                </c:pt>
                <c:pt idx="5">
                  <c:v>64964.259969393293</c:v>
                </c:pt>
                <c:pt idx="6">
                  <c:v>66499.586503532031</c:v>
                </c:pt>
                <c:pt idx="7">
                  <c:v>84717.09827958321</c:v>
                </c:pt>
                <c:pt idx="8">
                  <c:v>98468.303755075569</c:v>
                </c:pt>
              </c:numCache>
            </c:numRef>
          </c:val>
          <c:extLst>
            <c:ext xmlns:c16="http://schemas.microsoft.com/office/drawing/2014/chart" uri="{C3380CC4-5D6E-409C-BE32-E72D297353CC}">
              <c16:uniqueId val="{00000000-8089-41AE-9A84-B22483852AD4}"/>
            </c:ext>
          </c:extLst>
        </c:ser>
        <c:ser>
          <c:idx val="1"/>
          <c:order val="1"/>
          <c:tx>
            <c:strRef>
              <c:f>[1]Income!$B$6</c:f>
              <c:strCache>
                <c:ptCount val="1"/>
                <c:pt idx="0">
                  <c:v>Urban</c:v>
                </c:pt>
              </c:strCache>
            </c:strRef>
          </c:tx>
          <c:spPr>
            <a:solidFill>
              <a:schemeClr val="accent2"/>
            </a:solidFill>
            <a:ln>
              <a:noFill/>
            </a:ln>
            <a:effectLst/>
          </c:spPr>
          <c:invertIfNegative val="0"/>
          <c:cat>
            <c:numRef>
              <c:f>[1]Income!$C$3:$K$3</c:f>
              <c:numCache>
                <c:formatCode>General</c:formatCode>
                <c:ptCount val="9"/>
                <c:pt idx="0">
                  <c:v>1981</c:v>
                </c:pt>
                <c:pt idx="1">
                  <c:v>1986</c:v>
                </c:pt>
                <c:pt idx="2">
                  <c:v>1991</c:v>
                </c:pt>
                <c:pt idx="3">
                  <c:v>1996</c:v>
                </c:pt>
                <c:pt idx="4">
                  <c:v>2001</c:v>
                </c:pt>
                <c:pt idx="5">
                  <c:v>2006</c:v>
                </c:pt>
                <c:pt idx="6">
                  <c:v>2011</c:v>
                </c:pt>
                <c:pt idx="7">
                  <c:v>2016</c:v>
                </c:pt>
                <c:pt idx="8">
                  <c:v>2021</c:v>
                </c:pt>
              </c:numCache>
            </c:numRef>
          </c:cat>
          <c:val>
            <c:numRef>
              <c:f>[1]Income!$C$6:$K$6</c:f>
              <c:numCache>
                <c:formatCode>General</c:formatCode>
                <c:ptCount val="9"/>
                <c:pt idx="0">
                  <c:v>27122.5686172481</c:v>
                </c:pt>
                <c:pt idx="1">
                  <c:v>40370.794854261811</c:v>
                </c:pt>
                <c:pt idx="2">
                  <c:v>55349.414876133545</c:v>
                </c:pt>
                <c:pt idx="3">
                  <c:v>57039.738238402388</c:v>
                </c:pt>
                <c:pt idx="4">
                  <c:v>70961</c:v>
                </c:pt>
                <c:pt idx="5">
                  <c:v>81685</c:v>
                </c:pt>
                <c:pt idx="6">
                  <c:v>91003.667135008698</c:v>
                </c:pt>
                <c:pt idx="7">
                  <c:v>101203</c:v>
                </c:pt>
                <c:pt idx="8">
                  <c:v>120062.88124681757</c:v>
                </c:pt>
              </c:numCache>
            </c:numRef>
          </c:val>
          <c:extLst>
            <c:ext xmlns:c16="http://schemas.microsoft.com/office/drawing/2014/chart" uri="{C3380CC4-5D6E-409C-BE32-E72D297353CC}">
              <c16:uniqueId val="{00000001-8089-41AE-9A84-B22483852AD4}"/>
            </c:ext>
          </c:extLst>
        </c:ser>
        <c:ser>
          <c:idx val="0"/>
          <c:order val="2"/>
          <c:tx>
            <c:strRef>
              <c:f>[1]Income!$B$4</c:f>
              <c:strCache>
                <c:ptCount val="1"/>
                <c:pt idx="0">
                  <c:v>Ontario </c:v>
                </c:pt>
              </c:strCache>
            </c:strRef>
          </c:tx>
          <c:spPr>
            <a:solidFill>
              <a:schemeClr val="bg1">
                <a:lumMod val="65000"/>
              </a:schemeClr>
            </a:solidFill>
            <a:ln>
              <a:noFill/>
            </a:ln>
            <a:effectLst/>
          </c:spPr>
          <c:invertIfNegative val="0"/>
          <c:cat>
            <c:numRef>
              <c:f>[1]Income!$C$3:$K$3</c:f>
              <c:numCache>
                <c:formatCode>General</c:formatCode>
                <c:ptCount val="9"/>
                <c:pt idx="0">
                  <c:v>1981</c:v>
                </c:pt>
                <c:pt idx="1">
                  <c:v>1986</c:v>
                </c:pt>
                <c:pt idx="2">
                  <c:v>1991</c:v>
                </c:pt>
                <c:pt idx="3">
                  <c:v>1996</c:v>
                </c:pt>
                <c:pt idx="4">
                  <c:v>2001</c:v>
                </c:pt>
                <c:pt idx="5">
                  <c:v>2006</c:v>
                </c:pt>
                <c:pt idx="6">
                  <c:v>2011</c:v>
                </c:pt>
                <c:pt idx="7">
                  <c:v>2016</c:v>
                </c:pt>
                <c:pt idx="8">
                  <c:v>2021</c:v>
                </c:pt>
              </c:numCache>
            </c:numRef>
          </c:cat>
          <c:val>
            <c:numRef>
              <c:f>[1]Income!$C$4:$K$4</c:f>
              <c:numCache>
                <c:formatCode>General</c:formatCode>
                <c:ptCount val="9"/>
                <c:pt idx="0">
                  <c:v>25577</c:v>
                </c:pt>
                <c:pt idx="1">
                  <c:v>38022</c:v>
                </c:pt>
                <c:pt idx="2">
                  <c:v>52225</c:v>
                </c:pt>
                <c:pt idx="3">
                  <c:v>54291</c:v>
                </c:pt>
                <c:pt idx="4">
                  <c:v>66836</c:v>
                </c:pt>
                <c:pt idx="5">
                  <c:v>77967</c:v>
                </c:pt>
                <c:pt idx="6">
                  <c:v>85772</c:v>
                </c:pt>
                <c:pt idx="7">
                  <c:v>97856</c:v>
                </c:pt>
                <c:pt idx="8">
                  <c:v>116000</c:v>
                </c:pt>
              </c:numCache>
            </c:numRef>
          </c:val>
          <c:extLst>
            <c:ext xmlns:c16="http://schemas.microsoft.com/office/drawing/2014/chart" uri="{C3380CC4-5D6E-409C-BE32-E72D297353CC}">
              <c16:uniqueId val="{00000002-8089-41AE-9A84-B22483852AD4}"/>
            </c:ext>
          </c:extLst>
        </c:ser>
        <c:dLbls>
          <c:showLegendKey val="0"/>
          <c:showVal val="0"/>
          <c:showCatName val="0"/>
          <c:showSerName val="0"/>
          <c:showPercent val="0"/>
          <c:showBubbleSize val="0"/>
        </c:dLbls>
        <c:gapWidth val="150"/>
        <c:axId val="650340744"/>
        <c:axId val="722311784"/>
      </c:barChart>
      <c:catAx>
        <c:axId val="650340744"/>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CA" b="1">
                    <a:solidFill>
                      <a:sysClr val="windowText" lastClr="000000"/>
                    </a:solidFill>
                  </a:rPr>
                  <a:t>Census year</a:t>
                </a:r>
              </a:p>
            </c:rich>
          </c:tx>
          <c:layout>
            <c:manualLayout>
              <c:xMode val="edge"/>
              <c:yMode val="edge"/>
              <c:x val="0.45501873784185831"/>
              <c:y val="0.86743340423376891"/>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22311784"/>
        <c:crosses val="autoZero"/>
        <c:auto val="1"/>
        <c:lblAlgn val="ctr"/>
        <c:lblOffset val="100"/>
        <c:noMultiLvlLbl val="0"/>
      </c:catAx>
      <c:valAx>
        <c:axId val="722311784"/>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CA" b="1">
                    <a:solidFill>
                      <a:sysClr val="windowText" lastClr="000000"/>
                    </a:solidFill>
                  </a:rPr>
                  <a:t>Average household income</a:t>
                </a:r>
              </a:p>
            </c:rich>
          </c:tx>
          <c:layout>
            <c:manualLayout>
              <c:xMode val="edge"/>
              <c:yMode val="edge"/>
              <c:x val="1.8165694015333561E-3"/>
              <c:y val="0.3230464397852729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quot;$&quot;#,##0" sourceLinked="0"/>
        <c:majorTickMark val="out"/>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50340744"/>
        <c:crosses val="autoZero"/>
        <c:crossBetween val="between"/>
      </c:valAx>
      <c:spPr>
        <a:noFill/>
        <a:ln>
          <a:noFill/>
        </a:ln>
        <a:effectLst/>
      </c:spPr>
    </c:plotArea>
    <c:legend>
      <c:legendPos val="b"/>
      <c:layout>
        <c:manualLayout>
          <c:xMode val="edge"/>
          <c:yMode val="edge"/>
          <c:x val="0.38304883281840019"/>
          <c:y val="0.91612149296059964"/>
          <c:w val="0.25206802837853304"/>
          <c:h val="5.8151777575205107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189378</xdr:rowOff>
    </xdr:from>
    <xdr:to>
      <xdr:col>9</xdr:col>
      <xdr:colOff>409575</xdr:colOff>
      <xdr:row>35</xdr:row>
      <xdr:rowOff>342900</xdr:rowOff>
    </xdr:to>
    <xdr:graphicFrame macro="">
      <xdr:nvGraphicFramePr>
        <xdr:cNvPr id="2" name="Chart 2" descr="This chart shows average household income for Ontario, census metropolitan areas and rural Ontario, over the census years. ">
          <a:extLst>
            <a:ext uri="{FF2B5EF4-FFF2-40B4-BE49-F238E27FC236}">
              <a16:creationId xmlns:a16="http://schemas.microsoft.com/office/drawing/2014/main" id="{645696B5-7159-40AE-B4E8-37A0BE57E429}"/>
            </a:ext>
            <a:ext uri="{147F2762-F138-4A5C-976F-8EAC2B608ADB}">
              <a16:predDERef xmlns:a16="http://schemas.microsoft.com/office/drawing/2014/main" pred="{75B404BC-29EB-442F-88EC-ADF59F8D3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180975</xdr:colOff>
      <xdr:row>35</xdr:row>
      <xdr:rowOff>400050</xdr:rowOff>
    </xdr:from>
    <xdr:to>
      <xdr:col>6</xdr:col>
      <xdr:colOff>304800</xdr:colOff>
      <xdr:row>36</xdr:row>
      <xdr:rowOff>142875</xdr:rowOff>
    </xdr:to>
    <xdr:sp macro="" textlink="">
      <xdr:nvSpPr>
        <xdr:cNvPr id="4" name="TextBox 1">
          <a:extLst>
            <a:ext uri="{FF2B5EF4-FFF2-40B4-BE49-F238E27FC236}">
              <a16:creationId xmlns:a16="http://schemas.microsoft.com/office/drawing/2014/main" id="{20239029-D068-43DC-8231-B5AF9D2F94B7}"/>
            </a:ext>
          </a:extLst>
        </xdr:cNvPr>
        <xdr:cNvSpPr txBox="1"/>
      </xdr:nvSpPr>
      <xdr:spPr>
        <a:xfrm>
          <a:off x="180975" y="7124700"/>
          <a:ext cx="4781550" cy="15240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CA" sz="1000"/>
            <a:t>Source: OMAFRA calculations adapted from Statistics Canada.</a:t>
          </a:r>
          <a:r>
            <a:rPr lang="en-CA" sz="1000" baseline="0"/>
            <a:t> Census of Population, 1981-2021.  </a:t>
          </a:r>
          <a:endParaRPr lang="en-CA"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julio_mendoza_ontario_ca/Documents/Documents/Economic%20Analysis%20Unit/Rural%20Statistics%20%20-Census%20variables/Rural%20Statistics%20Data%20v01.09.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essibility example"/>
      <sheetName val="Rural Statistics Dashboard"/>
      <sheetName val="Rural Definition"/>
      <sheetName val="Data Dictionary"/>
      <sheetName val="Population"/>
      <sheetName val="Notes"/>
      <sheetName val="Population Age Breakdown"/>
      <sheetName val="Sheet2"/>
      <sheetName val="Educational Attainment"/>
      <sheetName val="Educ att graph"/>
      <sheetName val="Immigration"/>
      <sheetName val="2021 vis min"/>
      <sheetName val="Immigrants 2021"/>
      <sheetName val="Visible Minorities"/>
      <sheetName val="Income"/>
      <sheetName val="Indigenous pop"/>
      <sheetName val="GDP"/>
      <sheetName val="Employment (monthly)"/>
      <sheetName val="Labour Force (monthly)"/>
      <sheetName val="Employment (annual)"/>
      <sheetName val="Sheet3"/>
      <sheetName val="Sheet1"/>
      <sheetName val="Labour Force (annual)"/>
      <sheetName val="LF charct annual"/>
      <sheetName val="Labour force charact. Annual"/>
      <sheetName val="Business June 2021"/>
      <sheetName val="ind contribution"/>
      <sheetName val="Top exporters -Analyst"/>
      <sheetName val="Wages-analyst"/>
      <sheetName val="2001 Census "/>
      <sheetName val="2006 Census"/>
      <sheetName val="2011 Census"/>
      <sheetName val="2016 Census"/>
      <sheetName val="VM2021"/>
      <sheetName val="ROI overlap"/>
      <sheetName val="Sheet6"/>
      <sheetName val="CMAs"/>
      <sheetName val="Sheet5"/>
      <sheetName val="Educ att Grph %"/>
      <sheetName val="Sheet4"/>
      <sheetName val="R and U empl graph"/>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C3">
            <v>1981</v>
          </cell>
          <cell r="D3">
            <v>1986</v>
          </cell>
          <cell r="E3">
            <v>1991</v>
          </cell>
          <cell r="F3">
            <v>1996</v>
          </cell>
          <cell r="G3">
            <v>2001</v>
          </cell>
          <cell r="H3">
            <v>2006</v>
          </cell>
          <cell r="I3">
            <v>2011</v>
          </cell>
          <cell r="J3">
            <v>2016</v>
          </cell>
          <cell r="K3">
            <v>2021</v>
          </cell>
        </row>
        <row r="4">
          <cell r="B4" t="str">
            <v xml:space="preserve">Ontario </v>
          </cell>
          <cell r="C4">
            <v>25577</v>
          </cell>
          <cell r="D4">
            <v>38022</v>
          </cell>
          <cell r="E4">
            <v>52225</v>
          </cell>
          <cell r="F4">
            <v>54291</v>
          </cell>
          <cell r="G4">
            <v>66836</v>
          </cell>
          <cell r="H4">
            <v>77967</v>
          </cell>
          <cell r="I4">
            <v>85772</v>
          </cell>
          <cell r="J4">
            <v>97856</v>
          </cell>
          <cell r="K4">
            <v>116000</v>
          </cell>
        </row>
        <row r="5">
          <cell r="B5" t="str">
            <v xml:space="preserve">Rural </v>
          </cell>
          <cell r="C5">
            <v>22532.309657031135</v>
          </cell>
          <cell r="D5">
            <v>32566.127731881144</v>
          </cell>
          <cell r="E5">
            <v>44909.212890723655</v>
          </cell>
          <cell r="F5">
            <v>47901.033251017652</v>
          </cell>
          <cell r="G5">
            <v>55811.141662169452</v>
          </cell>
          <cell r="H5">
            <v>64964.259969393293</v>
          </cell>
          <cell r="I5">
            <v>66499.586503532031</v>
          </cell>
          <cell r="J5">
            <v>84717.09827958321</v>
          </cell>
          <cell r="K5">
            <v>98468.303755075569</v>
          </cell>
        </row>
        <row r="6">
          <cell r="B6" t="str">
            <v>Urban</v>
          </cell>
          <cell r="C6">
            <v>27122.5686172481</v>
          </cell>
          <cell r="D6">
            <v>40370.794854261811</v>
          </cell>
          <cell r="E6">
            <v>55349.414876133545</v>
          </cell>
          <cell r="F6">
            <v>57039.738238402388</v>
          </cell>
          <cell r="G6">
            <v>70961</v>
          </cell>
          <cell r="H6">
            <v>81685</v>
          </cell>
          <cell r="I6">
            <v>91003.667135008698</v>
          </cell>
          <cell r="J6">
            <v>101203</v>
          </cell>
          <cell r="K6">
            <v>120062.88124681757</v>
          </cell>
        </row>
      </sheetData>
      <sheetData sheetId="15">
        <row r="13">
          <cell r="I13" t="str">
            <v>In proportion of overall rural population</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20B3B-12E9-4374-B93E-0C45548A64B2}">
  <dimension ref="A2:J108"/>
  <sheetViews>
    <sheetView tabSelected="1" topLeftCell="A46" workbookViewId="0">
      <selection activeCell="H52" sqref="H52"/>
    </sheetView>
  </sheetViews>
  <sheetFormatPr defaultRowHeight="15" x14ac:dyDescent="0.25"/>
  <cols>
    <col min="1" max="1" width="31.5703125" customWidth="1"/>
    <col min="2" max="4" width="11" customWidth="1"/>
    <col min="5" max="5" width="11.85546875" customWidth="1"/>
    <col min="6" max="9" width="11" customWidth="1"/>
  </cols>
  <sheetData>
    <row r="2" spans="1:10" ht="15.75" x14ac:dyDescent="0.25">
      <c r="A2" s="1" t="s">
        <v>0</v>
      </c>
      <c r="B2" s="2"/>
      <c r="C2" s="3"/>
      <c r="D2" s="3"/>
      <c r="E2" s="3"/>
      <c r="F2" s="3"/>
      <c r="G2" s="3"/>
      <c r="H2" s="3"/>
      <c r="I2" s="3"/>
      <c r="J2" s="3"/>
    </row>
    <row r="3" spans="1:10" x14ac:dyDescent="0.25">
      <c r="A3" s="4"/>
      <c r="B3" s="5">
        <v>1981</v>
      </c>
      <c r="C3" s="5">
        <v>1986</v>
      </c>
      <c r="D3" s="5">
        <v>1991</v>
      </c>
      <c r="E3" s="5">
        <v>1996</v>
      </c>
      <c r="F3" s="5">
        <v>2001</v>
      </c>
      <c r="G3" s="5">
        <v>2006</v>
      </c>
      <c r="H3" s="5">
        <v>2011</v>
      </c>
      <c r="I3" s="5">
        <v>2016</v>
      </c>
      <c r="J3" s="5">
        <v>2021</v>
      </c>
    </row>
    <row r="4" spans="1:10" x14ac:dyDescent="0.25">
      <c r="A4" s="4" t="s">
        <v>1</v>
      </c>
      <c r="B4" s="6">
        <v>25577</v>
      </c>
      <c r="C4" s="6">
        <v>38022</v>
      </c>
      <c r="D4" s="6">
        <v>52225</v>
      </c>
      <c r="E4" s="6">
        <v>54291</v>
      </c>
      <c r="F4" s="6">
        <v>66836</v>
      </c>
      <c r="G4" s="6">
        <v>77967</v>
      </c>
      <c r="H4" s="6">
        <v>85772</v>
      </c>
      <c r="I4" s="6">
        <v>97856</v>
      </c>
      <c r="J4" s="6">
        <v>116000</v>
      </c>
    </row>
    <row r="5" spans="1:10" x14ac:dyDescent="0.25">
      <c r="A5" s="4" t="s">
        <v>3</v>
      </c>
      <c r="B5" s="6">
        <v>22532.309657031135</v>
      </c>
      <c r="C5" s="6">
        <v>32566.127731881144</v>
      </c>
      <c r="D5" s="6">
        <v>44909.212890723655</v>
      </c>
      <c r="E5" s="6">
        <v>47901.033251017652</v>
      </c>
      <c r="F5" s="6">
        <v>55811.141662169452</v>
      </c>
      <c r="G5" s="6">
        <v>64964.259969393293</v>
      </c>
      <c r="H5" s="6">
        <v>66499.586503532031</v>
      </c>
      <c r="I5" s="6">
        <v>84717.09827958321</v>
      </c>
      <c r="J5" s="6">
        <v>98468.303755075569</v>
      </c>
    </row>
    <row r="6" spans="1:10" x14ac:dyDescent="0.25">
      <c r="A6" s="4" t="s">
        <v>4</v>
      </c>
      <c r="B6" s="6">
        <v>27122.5686172481</v>
      </c>
      <c r="C6" s="6">
        <v>40370.794854261811</v>
      </c>
      <c r="D6" s="6">
        <v>55349.414876133545</v>
      </c>
      <c r="E6" s="6">
        <v>57039.738238402388</v>
      </c>
      <c r="F6" s="6">
        <v>70961</v>
      </c>
      <c r="G6" s="6">
        <v>81685</v>
      </c>
      <c r="H6" s="6">
        <v>91003.667135008698</v>
      </c>
      <c r="I6" s="6">
        <v>101203</v>
      </c>
      <c r="J6" s="6">
        <v>120062.88124681757</v>
      </c>
    </row>
    <row r="7" spans="1:10" x14ac:dyDescent="0.25">
      <c r="A7" s="7"/>
      <c r="B7" s="7"/>
      <c r="C7" s="7"/>
      <c r="D7" s="7"/>
      <c r="E7" s="7"/>
      <c r="F7" s="7"/>
      <c r="G7" s="7"/>
      <c r="H7" s="7"/>
      <c r="I7" s="7"/>
    </row>
    <row r="8" spans="1:10" x14ac:dyDescent="0.25">
      <c r="A8" s="2" t="s">
        <v>5</v>
      </c>
      <c r="B8" s="2"/>
      <c r="C8" s="2"/>
      <c r="D8" s="2"/>
      <c r="E8" s="2"/>
      <c r="F8" s="2"/>
      <c r="G8" s="2"/>
      <c r="H8" s="2"/>
      <c r="I8" s="2"/>
    </row>
    <row r="9" spans="1:10" x14ac:dyDescent="0.25">
      <c r="A9" s="2" t="s">
        <v>6</v>
      </c>
      <c r="B9" s="8"/>
      <c r="C9" s="8"/>
      <c r="D9" s="8"/>
      <c r="E9" s="8"/>
      <c r="F9" s="8"/>
      <c r="G9" s="8"/>
      <c r="H9" s="8"/>
      <c r="I9" s="8"/>
    </row>
    <row r="11" spans="1:10" ht="18.75" x14ac:dyDescent="0.25">
      <c r="A11" s="22" t="s">
        <v>7</v>
      </c>
    </row>
    <row r="36" spans="1:9" ht="32.25" customHeight="1" x14ac:dyDescent="0.25"/>
    <row r="37" spans="1:9" ht="20.25" customHeight="1" x14ac:dyDescent="0.25"/>
    <row r="38" spans="1:9" ht="17.25" customHeight="1" x14ac:dyDescent="0.25"/>
    <row r="39" spans="1:9" ht="15.75" thickBot="1" x14ac:dyDescent="0.3">
      <c r="A39" s="23" t="s">
        <v>8</v>
      </c>
      <c r="B39" s="23"/>
      <c r="C39" s="23"/>
      <c r="D39" s="23"/>
    </row>
    <row r="40" spans="1:9" ht="16.5" thickBot="1" x14ac:dyDescent="0.3">
      <c r="A40" s="9"/>
    </row>
    <row r="41" spans="1:9" x14ac:dyDescent="0.25">
      <c r="A41" s="10" t="s">
        <v>9</v>
      </c>
      <c r="B41" s="11" t="s">
        <v>10</v>
      </c>
      <c r="C41" s="11" t="s">
        <v>4</v>
      </c>
      <c r="D41" s="12" t="s">
        <v>2</v>
      </c>
      <c r="E41" s="26" t="s">
        <v>24</v>
      </c>
    </row>
    <row r="42" spans="1:9" ht="15.75" thickBot="1" x14ac:dyDescent="0.3">
      <c r="A42" s="13" t="s">
        <v>11</v>
      </c>
      <c r="B42" s="14">
        <v>7805</v>
      </c>
      <c r="C42" s="14">
        <v>8367.2626721242723</v>
      </c>
      <c r="D42" s="15">
        <v>6772.3717584753858</v>
      </c>
      <c r="E42" s="27">
        <f>+(D42-C42)/AVERAGE(C42:D42)</f>
        <v>-0.21069080907599105</v>
      </c>
    </row>
    <row r="43" spans="1:9" x14ac:dyDescent="0.25">
      <c r="A43" t="s">
        <v>12</v>
      </c>
      <c r="B43" s="16"/>
      <c r="C43" s="16"/>
      <c r="D43" s="16"/>
    </row>
    <row r="44" spans="1:9" x14ac:dyDescent="0.25">
      <c r="A44" t="s">
        <v>13</v>
      </c>
    </row>
    <row r="45" spans="1:9" x14ac:dyDescent="0.25">
      <c r="A45" t="s">
        <v>14</v>
      </c>
    </row>
    <row r="46" spans="1:9" x14ac:dyDescent="0.25">
      <c r="A46" t="s">
        <v>15</v>
      </c>
    </row>
    <row r="47" spans="1:9" x14ac:dyDescent="0.25">
      <c r="A47" s="17" t="s">
        <v>6</v>
      </c>
      <c r="B47" s="8"/>
      <c r="C47" s="8"/>
      <c r="D47" s="8"/>
      <c r="E47" s="8"/>
      <c r="F47" s="8"/>
      <c r="G47" s="8"/>
      <c r="H47" s="8"/>
      <c r="I47" s="8"/>
    </row>
    <row r="48" spans="1:9" x14ac:dyDescent="0.25">
      <c r="A48" s="2"/>
      <c r="B48" s="2"/>
      <c r="C48" s="2"/>
      <c r="D48" s="2"/>
      <c r="E48" s="2"/>
      <c r="F48" s="2"/>
      <c r="G48" s="2"/>
      <c r="H48" s="2"/>
      <c r="I48" s="2"/>
    </row>
    <row r="49" spans="1:9" ht="15.75" thickBot="1" x14ac:dyDescent="0.3"/>
    <row r="50" spans="1:9" x14ac:dyDescent="0.25">
      <c r="A50" s="10" t="s">
        <v>16</v>
      </c>
      <c r="B50" s="11" t="s">
        <v>10</v>
      </c>
      <c r="C50" s="11" t="s">
        <v>4</v>
      </c>
      <c r="D50" s="12" t="s">
        <v>2</v>
      </c>
    </row>
    <row r="51" spans="1:9" ht="15.75" thickBot="1" x14ac:dyDescent="0.3">
      <c r="A51" s="13" t="s">
        <v>17</v>
      </c>
      <c r="B51" s="14" t="s">
        <v>18</v>
      </c>
      <c r="C51" s="14" t="s">
        <v>18</v>
      </c>
      <c r="D51" s="15" t="s">
        <v>18</v>
      </c>
    </row>
    <row r="52" spans="1:9" x14ac:dyDescent="0.25">
      <c r="B52" s="16"/>
      <c r="C52" s="16"/>
      <c r="D52" s="16"/>
    </row>
    <row r="53" spans="1:9" x14ac:dyDescent="0.25">
      <c r="A53" t="s">
        <v>19</v>
      </c>
    </row>
    <row r="54" spans="1:9" s="19" customFormat="1" ht="12" x14ac:dyDescent="0.2">
      <c r="A54" s="17" t="s">
        <v>20</v>
      </c>
      <c r="B54" s="18"/>
      <c r="C54" s="18"/>
      <c r="D54" s="18"/>
      <c r="E54" s="18"/>
      <c r="F54" s="18"/>
      <c r="G54" s="18"/>
      <c r="H54" s="18"/>
      <c r="I54" s="18"/>
    </row>
    <row r="55" spans="1:9" ht="15.75" thickBot="1" x14ac:dyDescent="0.3"/>
    <row r="56" spans="1:9" ht="30" x14ac:dyDescent="0.25">
      <c r="A56" s="31">
        <v>1981</v>
      </c>
      <c r="B56" s="28" t="s">
        <v>10</v>
      </c>
      <c r="C56" s="28" t="s">
        <v>4</v>
      </c>
      <c r="D56" s="29" t="s">
        <v>2</v>
      </c>
      <c r="E56" s="30" t="s">
        <v>24</v>
      </c>
    </row>
    <row r="57" spans="1:9" ht="15.75" thickBot="1" x14ac:dyDescent="0.3">
      <c r="A57" s="13" t="s">
        <v>17</v>
      </c>
      <c r="B57" s="14">
        <v>25577</v>
      </c>
      <c r="C57" s="14">
        <v>27122.5686172481</v>
      </c>
      <c r="D57" s="15">
        <v>22532.309657031135</v>
      </c>
      <c r="E57" s="27">
        <f>+(D57-C57)/AVERAGE(C57:D57)</f>
        <v>-0.18488652554384272</v>
      </c>
    </row>
    <row r="58" spans="1:9" x14ac:dyDescent="0.25">
      <c r="A58" s="20"/>
      <c r="B58" s="21"/>
      <c r="C58" s="21"/>
      <c r="D58" s="21"/>
      <c r="E58" s="21"/>
      <c r="F58" s="21"/>
      <c r="G58" s="21"/>
      <c r="H58" s="21"/>
      <c r="I58" s="21"/>
    </row>
    <row r="59" spans="1:9" x14ac:dyDescent="0.25">
      <c r="A59" s="2" t="s">
        <v>5</v>
      </c>
      <c r="B59" s="2"/>
      <c r="C59" s="2"/>
      <c r="D59" s="2"/>
      <c r="E59" s="2"/>
      <c r="F59" s="2"/>
      <c r="G59" s="2"/>
      <c r="H59" s="2"/>
      <c r="I59" s="2"/>
    </row>
    <row r="60" spans="1:9" s="19" customFormat="1" ht="12" x14ac:dyDescent="0.2">
      <c r="A60" s="17" t="s">
        <v>21</v>
      </c>
      <c r="B60" s="18"/>
      <c r="C60" s="18"/>
      <c r="D60" s="18"/>
      <c r="E60" s="18"/>
      <c r="F60" s="18"/>
      <c r="G60" s="18"/>
      <c r="H60" s="18"/>
      <c r="I60" s="18"/>
    </row>
    <row r="61" spans="1:9" ht="15.75" thickBot="1" x14ac:dyDescent="0.3"/>
    <row r="62" spans="1:9" ht="30" x14ac:dyDescent="0.25">
      <c r="A62" s="31">
        <v>1986</v>
      </c>
      <c r="B62" s="28" t="s">
        <v>10</v>
      </c>
      <c r="C62" s="28" t="s">
        <v>4</v>
      </c>
      <c r="D62" s="29" t="s">
        <v>2</v>
      </c>
      <c r="E62" s="30" t="s">
        <v>24</v>
      </c>
    </row>
    <row r="63" spans="1:9" ht="15.75" thickBot="1" x14ac:dyDescent="0.3">
      <c r="A63" s="13" t="s">
        <v>17</v>
      </c>
      <c r="B63" s="14">
        <v>38022</v>
      </c>
      <c r="C63" s="14">
        <v>40370.794854261811</v>
      </c>
      <c r="D63" s="15">
        <v>32566.127731881144</v>
      </c>
      <c r="E63" s="27">
        <f>+(D63-C63)/AVERAGE(C63:D63)</f>
        <v>-0.21401141824054554</v>
      </c>
    </row>
    <row r="65" spans="1:9" x14ac:dyDescent="0.25">
      <c r="A65" s="2" t="s">
        <v>5</v>
      </c>
      <c r="B65" s="2"/>
      <c r="C65" s="2"/>
      <c r="D65" s="2"/>
      <c r="E65" s="2"/>
      <c r="F65" s="2"/>
      <c r="G65" s="2"/>
      <c r="H65" s="2"/>
      <c r="I65" s="2"/>
    </row>
    <row r="66" spans="1:9" s="19" customFormat="1" ht="12" x14ac:dyDescent="0.2">
      <c r="A66" s="17" t="s">
        <v>25</v>
      </c>
      <c r="B66" s="18"/>
      <c r="C66" s="18"/>
      <c r="D66" s="18"/>
      <c r="E66" s="18"/>
      <c r="F66" s="18"/>
      <c r="G66" s="18"/>
      <c r="H66" s="18"/>
      <c r="I66" s="18"/>
    </row>
    <row r="67" spans="1:9" s="19" customFormat="1" ht="12.75" thickBot="1" x14ac:dyDescent="0.25">
      <c r="A67" s="17"/>
      <c r="B67" s="18"/>
      <c r="C67" s="18"/>
      <c r="D67" s="18"/>
      <c r="E67" s="18"/>
      <c r="F67" s="18"/>
      <c r="G67" s="18"/>
      <c r="H67" s="18"/>
      <c r="I67" s="18"/>
    </row>
    <row r="68" spans="1:9" ht="30" x14ac:dyDescent="0.25">
      <c r="A68" s="31">
        <v>1991</v>
      </c>
      <c r="B68" s="28" t="s">
        <v>10</v>
      </c>
      <c r="C68" s="28" t="s">
        <v>4</v>
      </c>
      <c r="D68" s="29" t="s">
        <v>2</v>
      </c>
      <c r="E68" s="30" t="s">
        <v>24</v>
      </c>
    </row>
    <row r="69" spans="1:9" ht="15.75" thickBot="1" x14ac:dyDescent="0.3">
      <c r="A69" s="13" t="s">
        <v>17</v>
      </c>
      <c r="B69" s="14">
        <v>52225</v>
      </c>
      <c r="C69" s="14">
        <v>55349.414876133545</v>
      </c>
      <c r="D69" s="15">
        <v>44909.212890723655</v>
      </c>
      <c r="E69" s="27">
        <f>+(D69-C69)/AVERAGE(C69:D69)</f>
        <v>-0.20826540753555256</v>
      </c>
    </row>
    <row r="71" spans="1:9" x14ac:dyDescent="0.25">
      <c r="A71" s="2" t="s">
        <v>5</v>
      </c>
      <c r="B71" s="2"/>
      <c r="C71" s="2"/>
      <c r="D71" s="2"/>
      <c r="E71" s="2"/>
      <c r="F71" s="2"/>
      <c r="G71" s="2"/>
      <c r="H71" s="2"/>
      <c r="I71" s="2"/>
    </row>
    <row r="72" spans="1:9" s="19" customFormat="1" ht="12" x14ac:dyDescent="0.2">
      <c r="A72" s="17" t="s">
        <v>26</v>
      </c>
      <c r="B72" s="18"/>
      <c r="C72" s="18"/>
      <c r="D72" s="18"/>
      <c r="E72" s="18"/>
      <c r="F72" s="18"/>
      <c r="G72" s="18"/>
      <c r="H72" s="18"/>
      <c r="I72" s="18"/>
    </row>
    <row r="73" spans="1:9" s="19" customFormat="1" ht="12.75" thickBot="1" x14ac:dyDescent="0.25">
      <c r="A73" s="17"/>
      <c r="B73" s="18"/>
      <c r="C73" s="18"/>
      <c r="D73" s="18"/>
      <c r="E73" s="18"/>
      <c r="F73" s="18"/>
      <c r="G73" s="18"/>
      <c r="H73" s="18"/>
      <c r="I73" s="18"/>
    </row>
    <row r="74" spans="1:9" ht="30" x14ac:dyDescent="0.25">
      <c r="A74" s="31">
        <v>1996</v>
      </c>
      <c r="B74" s="28" t="s">
        <v>10</v>
      </c>
      <c r="C74" s="28" t="s">
        <v>4</v>
      </c>
      <c r="D74" s="29" t="s">
        <v>2</v>
      </c>
      <c r="E74" s="30" t="s">
        <v>24</v>
      </c>
    </row>
    <row r="75" spans="1:9" ht="15.75" thickBot="1" x14ac:dyDescent="0.3">
      <c r="A75" s="13" t="s">
        <v>17</v>
      </c>
      <c r="B75" s="14">
        <v>54291</v>
      </c>
      <c r="C75" s="14">
        <v>57039.738238402388</v>
      </c>
      <c r="D75" s="15">
        <v>47901.033251017652</v>
      </c>
      <c r="E75" s="27">
        <f>+(D75-C75)/AVERAGE(C75:D75)</f>
        <v>-0.17416881651772659</v>
      </c>
    </row>
    <row r="77" spans="1:9" x14ac:dyDescent="0.25">
      <c r="A77" s="2" t="s">
        <v>5</v>
      </c>
      <c r="B77" s="2"/>
      <c r="C77" s="2"/>
      <c r="D77" s="2"/>
      <c r="E77" s="2"/>
      <c r="F77" s="2"/>
      <c r="G77" s="2"/>
      <c r="H77" s="2"/>
      <c r="I77" s="2"/>
    </row>
    <row r="78" spans="1:9" s="19" customFormat="1" ht="12" x14ac:dyDescent="0.2">
      <c r="A78" s="17" t="s">
        <v>27</v>
      </c>
      <c r="B78" s="18"/>
      <c r="C78" s="18"/>
      <c r="D78" s="18"/>
      <c r="E78" s="18"/>
      <c r="F78" s="18"/>
      <c r="G78" s="18"/>
      <c r="H78" s="18"/>
      <c r="I78" s="18"/>
    </row>
    <row r="79" spans="1:9" s="19" customFormat="1" ht="12.75" thickBot="1" x14ac:dyDescent="0.25">
      <c r="A79" s="17"/>
      <c r="B79" s="18"/>
      <c r="C79" s="18"/>
      <c r="D79" s="18"/>
      <c r="E79" s="18"/>
      <c r="F79" s="18"/>
      <c r="G79" s="18"/>
      <c r="H79" s="18"/>
      <c r="I79" s="18"/>
    </row>
    <row r="80" spans="1:9" ht="30" x14ac:dyDescent="0.25">
      <c r="A80" s="31">
        <v>2001</v>
      </c>
      <c r="B80" s="28" t="s">
        <v>10</v>
      </c>
      <c r="C80" s="28" t="s">
        <v>22</v>
      </c>
      <c r="D80" s="29" t="s">
        <v>2</v>
      </c>
      <c r="E80" s="30" t="s">
        <v>24</v>
      </c>
    </row>
    <row r="81" spans="1:9" ht="15.75" thickBot="1" x14ac:dyDescent="0.3">
      <c r="A81" s="13" t="s">
        <v>17</v>
      </c>
      <c r="B81" s="14">
        <v>66836</v>
      </c>
      <c r="C81" s="14">
        <v>70961</v>
      </c>
      <c r="D81" s="15">
        <v>55811.141662169452</v>
      </c>
      <c r="E81" s="27">
        <f>+(D81-C81)/AVERAGE(C81:D81)</f>
        <v>-0.23900926716538187</v>
      </c>
    </row>
    <row r="83" spans="1:9" x14ac:dyDescent="0.25">
      <c r="A83" s="2" t="s">
        <v>5</v>
      </c>
      <c r="B83" s="2"/>
      <c r="C83" s="2"/>
      <c r="D83" s="2"/>
      <c r="E83" s="2"/>
      <c r="F83" s="2"/>
      <c r="G83" s="2"/>
      <c r="H83" s="2"/>
      <c r="I83" s="2"/>
    </row>
    <row r="84" spans="1:9" s="19" customFormat="1" ht="12" x14ac:dyDescent="0.2">
      <c r="A84" s="17" t="s">
        <v>21</v>
      </c>
      <c r="B84" s="18"/>
      <c r="C84" s="18"/>
      <c r="D84" s="18"/>
      <c r="E84" s="18"/>
      <c r="F84" s="18"/>
      <c r="G84" s="18"/>
      <c r="H84" s="18"/>
      <c r="I84" s="18"/>
    </row>
    <row r="85" spans="1:9" s="19" customFormat="1" ht="12.75" thickBot="1" x14ac:dyDescent="0.25">
      <c r="A85" s="17"/>
      <c r="B85" s="18"/>
      <c r="C85" s="18"/>
      <c r="D85" s="18"/>
      <c r="E85" s="18"/>
      <c r="F85" s="18"/>
      <c r="G85" s="18"/>
      <c r="H85" s="18"/>
      <c r="I85" s="18"/>
    </row>
    <row r="86" spans="1:9" ht="30" x14ac:dyDescent="0.25">
      <c r="A86" s="31">
        <v>2006</v>
      </c>
      <c r="B86" s="28" t="s">
        <v>10</v>
      </c>
      <c r="C86" s="28" t="s">
        <v>4</v>
      </c>
      <c r="D86" s="29" t="s">
        <v>2</v>
      </c>
      <c r="E86" s="30" t="s">
        <v>24</v>
      </c>
    </row>
    <row r="87" spans="1:9" ht="15.75" thickBot="1" x14ac:dyDescent="0.3">
      <c r="A87" s="13" t="s">
        <v>17</v>
      </c>
      <c r="B87" s="14">
        <v>77967</v>
      </c>
      <c r="C87" s="14">
        <v>81685</v>
      </c>
      <c r="D87" s="15">
        <v>64964.259969393293</v>
      </c>
      <c r="E87" s="27">
        <f>+(D87-C87)/AVERAGE(C87:D87)</f>
        <v>-0.22803715523823906</v>
      </c>
    </row>
    <row r="89" spans="1:9" x14ac:dyDescent="0.25">
      <c r="A89" s="2" t="s">
        <v>5</v>
      </c>
      <c r="B89" s="2"/>
      <c r="C89" s="2"/>
      <c r="D89" s="2"/>
      <c r="E89" s="2"/>
      <c r="F89" s="2"/>
      <c r="G89" s="2"/>
      <c r="H89" s="2"/>
      <c r="I89" s="2"/>
    </row>
    <row r="90" spans="1:9" s="19" customFormat="1" ht="12" x14ac:dyDescent="0.2">
      <c r="A90" s="17" t="s">
        <v>21</v>
      </c>
      <c r="B90" s="18"/>
      <c r="C90" s="18"/>
      <c r="D90" s="18"/>
      <c r="E90" s="18"/>
      <c r="F90" s="18"/>
      <c r="G90" s="18"/>
      <c r="H90" s="18"/>
      <c r="I90" s="18"/>
    </row>
    <row r="91" spans="1:9" s="19" customFormat="1" ht="12.75" thickBot="1" x14ac:dyDescent="0.25">
      <c r="A91" s="17"/>
      <c r="B91" s="18"/>
      <c r="C91" s="18"/>
      <c r="D91" s="18"/>
      <c r="E91" s="18"/>
      <c r="F91" s="18"/>
      <c r="G91" s="18"/>
      <c r="H91" s="18"/>
      <c r="I91" s="18"/>
    </row>
    <row r="92" spans="1:9" ht="30" x14ac:dyDescent="0.25">
      <c r="A92" s="31">
        <v>2011</v>
      </c>
      <c r="B92" s="28" t="s">
        <v>10</v>
      </c>
      <c r="C92" s="28" t="s">
        <v>4</v>
      </c>
      <c r="D92" s="29" t="s">
        <v>2</v>
      </c>
      <c r="E92" s="30" t="s">
        <v>24</v>
      </c>
    </row>
    <row r="93" spans="1:9" ht="15.75" thickBot="1" x14ac:dyDescent="0.3">
      <c r="A93" s="13" t="s">
        <v>17</v>
      </c>
      <c r="B93" s="14">
        <v>85772</v>
      </c>
      <c r="C93" s="14">
        <v>91003.667135008698</v>
      </c>
      <c r="D93" s="15">
        <v>76500</v>
      </c>
      <c r="E93" s="27">
        <f>+(D93-C93)/AVERAGE(C93:D93)</f>
        <v>-0.17317432367995475</v>
      </c>
      <c r="F93" s="24" t="s">
        <v>20</v>
      </c>
    </row>
    <row r="95" spans="1:9" x14ac:dyDescent="0.25">
      <c r="A95" s="2" t="s">
        <v>5</v>
      </c>
      <c r="B95" s="2"/>
      <c r="C95" s="2"/>
      <c r="D95" s="2"/>
      <c r="E95" s="2"/>
      <c r="F95" s="2"/>
      <c r="G95" s="2"/>
      <c r="H95" s="2"/>
      <c r="I95" s="2"/>
    </row>
    <row r="96" spans="1:9" s="19" customFormat="1" ht="12" x14ac:dyDescent="0.2">
      <c r="A96" s="17" t="s">
        <v>21</v>
      </c>
      <c r="B96" s="18"/>
      <c r="C96" s="18"/>
      <c r="D96" s="18"/>
      <c r="E96" s="18"/>
      <c r="F96" s="18"/>
      <c r="G96" s="18"/>
      <c r="H96" s="18"/>
      <c r="I96" s="18"/>
    </row>
    <row r="97" spans="1:9" s="19" customFormat="1" ht="12.75" thickBot="1" x14ac:dyDescent="0.25">
      <c r="A97" s="17"/>
      <c r="B97" s="18"/>
      <c r="C97" s="18"/>
      <c r="D97" s="18"/>
      <c r="E97" s="18"/>
      <c r="F97" s="18"/>
      <c r="G97" s="18"/>
      <c r="H97" s="18"/>
      <c r="I97" s="18"/>
    </row>
    <row r="98" spans="1:9" ht="30" x14ac:dyDescent="0.25">
      <c r="A98" s="31">
        <v>2016</v>
      </c>
      <c r="B98" s="28" t="s">
        <v>10</v>
      </c>
      <c r="C98" s="28" t="s">
        <v>4</v>
      </c>
      <c r="D98" s="29" t="s">
        <v>2</v>
      </c>
      <c r="E98" s="30" t="s">
        <v>24</v>
      </c>
    </row>
    <row r="99" spans="1:9" ht="15.75" thickBot="1" x14ac:dyDescent="0.3">
      <c r="A99" s="13" t="s">
        <v>17</v>
      </c>
      <c r="B99" s="14">
        <v>97856</v>
      </c>
      <c r="C99" s="14">
        <v>101203</v>
      </c>
      <c r="D99" s="15">
        <v>84717.098279583195</v>
      </c>
      <c r="E99" s="27">
        <f>+(D99-C99)/AVERAGE(C99:D99)</f>
        <v>-0.17734394369376474</v>
      </c>
      <c r="F99" s="25" t="s">
        <v>20</v>
      </c>
    </row>
    <row r="101" spans="1:9" x14ac:dyDescent="0.25">
      <c r="A101" s="2" t="s">
        <v>5</v>
      </c>
      <c r="B101" s="2"/>
      <c r="C101" s="2"/>
      <c r="D101" s="2"/>
      <c r="E101" s="2"/>
      <c r="F101" s="2"/>
      <c r="G101" s="2"/>
      <c r="H101" s="2"/>
      <c r="I101" s="2"/>
    </row>
    <row r="102" spans="1:9" s="19" customFormat="1" ht="12" x14ac:dyDescent="0.2">
      <c r="A102" s="17" t="s">
        <v>21</v>
      </c>
      <c r="B102" s="18"/>
      <c r="C102" s="18"/>
      <c r="D102" s="18"/>
      <c r="E102" s="18"/>
      <c r="F102" s="18"/>
      <c r="G102" s="18"/>
      <c r="H102" s="18"/>
      <c r="I102" s="18"/>
    </row>
    <row r="103" spans="1:9" ht="15.75" thickBot="1" x14ac:dyDescent="0.3"/>
    <row r="104" spans="1:9" ht="30" x14ac:dyDescent="0.25">
      <c r="A104" s="31">
        <v>2021</v>
      </c>
      <c r="B104" s="28" t="s">
        <v>10</v>
      </c>
      <c r="C104" s="28" t="s">
        <v>4</v>
      </c>
      <c r="D104" s="29" t="s">
        <v>2</v>
      </c>
      <c r="E104" s="30" t="s">
        <v>24</v>
      </c>
    </row>
    <row r="105" spans="1:9" ht="15.75" thickBot="1" x14ac:dyDescent="0.3">
      <c r="A105" s="13" t="s">
        <v>17</v>
      </c>
      <c r="B105" s="14">
        <v>116000</v>
      </c>
      <c r="C105" s="14">
        <v>120062.88124681757</v>
      </c>
      <c r="D105" s="15">
        <v>98468.303755075569</v>
      </c>
      <c r="E105" s="27">
        <f>+(D105-C105)/AVERAGE(C105:D105)</f>
        <v>-0.19763382962074663</v>
      </c>
      <c r="F105" s="24" t="s">
        <v>20</v>
      </c>
    </row>
    <row r="107" spans="1:9" x14ac:dyDescent="0.25">
      <c r="A107" s="2" t="s">
        <v>5</v>
      </c>
      <c r="B107" s="2"/>
      <c r="C107" s="2"/>
      <c r="D107" s="2"/>
    </row>
    <row r="108" spans="1:9" x14ac:dyDescent="0.25">
      <c r="A108" s="17" t="s">
        <v>23</v>
      </c>
      <c r="B108" s="18"/>
      <c r="C108" s="18"/>
      <c r="D108" s="18"/>
    </row>
  </sheetData>
  <pageMargins left="0.7" right="0.7" top="0.75" bottom="0.75" header="0.3" footer="0.3"/>
  <pageSetup orientation="portrait" r:id="rId1"/>
  <drawing r:id="rId2"/>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Mendoza, Julio (OMAFRA)</dc:creator>
  <cp:lastModifiedBy>Mendoza, Julio (OMAFRA)</cp:lastModifiedBy>
  <dcterms:created xsi:type="dcterms:W3CDTF">2023-01-12T23:38:46Z</dcterms:created>
  <dcterms:modified xsi:type="dcterms:W3CDTF">2023-02-24T19:39:48Z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2023-01-12T23:38:46Z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f6166ab2-ee77-4242-8eb8-e0ef834e0cb4</vt:lpwstr>
  </property>
  <property fmtid="{D5CDD505-2E9C-101B-9397-08002B2CF9AE}" pid="8" name="MSIP_Label_034a106e-6316-442c-ad35-738afd673d2b_ContentBits">
    <vt:lpwstr>0</vt:lpwstr>
  </property>
</Properties>
</file>